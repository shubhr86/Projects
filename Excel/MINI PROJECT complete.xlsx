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DA\carrer247\working excel\4653959-Week_3-20251125T080737Z-1-001 (1)\Week 3\Mini Excel project\"/>
    </mc:Choice>
  </mc:AlternateContent>
  <xr:revisionPtr revIDLastSave="0" documentId="8_{BCF6750E-B5B9-4810-9300-A10ACFE46CC2}" xr6:coauthVersionLast="47" xr6:coauthVersionMax="47" xr10:uidLastSave="{00000000-0000-0000-0000-000000000000}"/>
  <bookViews>
    <workbookView xWindow="-120" yWindow="-120" windowWidth="29040" windowHeight="15720" xr2:uid="{00000000-000D-0000-FFFF-FFFF00000000}"/>
  </bookViews>
  <sheets>
    <sheet name="Dashboard" sheetId="12" r:id="rId1"/>
    <sheet name="Insights" sheetId="14" r:id="rId2"/>
    <sheet name="Pivots" sheetId="11" r:id="rId3"/>
    <sheet name="AmazonSales" sheetId="10" r:id="rId4"/>
    <sheet name="RegionGoals" sheetId="3" r:id="rId5"/>
    <sheet name="CustomerMaster" sheetId="4" r:id="rId6"/>
    <sheet name="ProductMaster" sheetId="2" r:id="rId7"/>
  </sheets>
  <definedNames>
    <definedName name="Slicer_Category1">#N/A</definedName>
    <definedName name="Slicer_Delivery_Status1">#N/A</definedName>
    <definedName name="Slicer_Months__Order_Date1">#N/A</definedName>
    <definedName name="Slicer_Payment_Method1">#N/A</definedName>
    <definedName name="Slicer_Region1">#N/A</definedName>
  </definedNames>
  <calcPr calcId="191029"/>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MINI PROJECT .xlsx!Table2"/>
          <x15:modelTable id="Table3" name="Table3" connection="WorksheetConnection_MINI PROJECT .xlsx!Table3"/>
          <x15:modelTable id="Table1" name="Table1" connection="WorksheetConnection_MINI PROJECT .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1" l="1"/>
  <c r="U2" i="10"/>
  <c r="U3" i="10"/>
  <c r="U4" i="10"/>
  <c r="U5" i="10"/>
  <c r="U6" i="10"/>
  <c r="U7" i="10"/>
  <c r="U8" i="10"/>
  <c r="U9" i="10"/>
  <c r="U10" i="10"/>
  <c r="U11" i="10"/>
  <c r="U12" i="10"/>
  <c r="U13" i="10"/>
  <c r="U14" i="10"/>
  <c r="U15" i="10"/>
  <c r="U16" i="10"/>
  <c r="U17" i="10"/>
  <c r="U18" i="10"/>
  <c r="U19" i="10"/>
  <c r="U20" i="10"/>
  <c r="U21" i="10"/>
  <c r="U22" i="10"/>
  <c r="U23" i="10"/>
  <c r="U24" i="10"/>
  <c r="U25" i="10"/>
  <c r="U26" i="10"/>
  <c r="U27" i="10"/>
  <c r="U28" i="10"/>
  <c r="U29" i="10"/>
  <c r="U30" i="10"/>
  <c r="U31" i="10"/>
  <c r="U32" i="10"/>
  <c r="U33" i="10"/>
  <c r="U34" i="10"/>
  <c r="U35" i="10"/>
  <c r="U36" i="10"/>
  <c r="U37" i="10"/>
  <c r="U38" i="10"/>
  <c r="U39" i="10"/>
  <c r="U40" i="10"/>
  <c r="U41" i="10"/>
  <c r="U42" i="10"/>
  <c r="U43" i="10"/>
  <c r="U44" i="10"/>
  <c r="U45" i="10"/>
  <c r="U46" i="10"/>
  <c r="U47" i="10"/>
  <c r="U48" i="10"/>
  <c r="U49" i="10"/>
  <c r="U50" i="10"/>
  <c r="U51" i="10"/>
  <c r="U52" i="10"/>
  <c r="U53" i="10"/>
  <c r="U54" i="10"/>
  <c r="U55" i="10"/>
  <c r="U56" i="10"/>
  <c r="U57" i="10"/>
  <c r="U58" i="10"/>
  <c r="U59" i="10"/>
  <c r="U60" i="10"/>
  <c r="U61" i="10"/>
  <c r="U62" i="10"/>
  <c r="U63" i="10"/>
  <c r="U64" i="10"/>
  <c r="U65" i="10"/>
  <c r="U66" i="10"/>
  <c r="U67" i="10"/>
  <c r="U68" i="10"/>
  <c r="U69" i="10"/>
  <c r="U70" i="10"/>
  <c r="U71" i="10"/>
  <c r="U72" i="10"/>
  <c r="U73" i="10"/>
  <c r="U74" i="10"/>
  <c r="U75" i="10"/>
  <c r="U76" i="10"/>
  <c r="U77" i="10"/>
  <c r="U78" i="10"/>
  <c r="U79" i="10"/>
  <c r="U80" i="10"/>
  <c r="U81" i="10"/>
  <c r="U82" i="10"/>
  <c r="U83" i="10"/>
  <c r="U84" i="10"/>
  <c r="U85" i="10"/>
  <c r="U86" i="10"/>
  <c r="U87" i="10"/>
  <c r="U88" i="10"/>
  <c r="U89" i="10"/>
  <c r="U90" i="10"/>
  <c r="U91" i="10"/>
  <c r="U92" i="10"/>
  <c r="U93" i="10"/>
  <c r="U94" i="10"/>
  <c r="U95" i="10"/>
  <c r="U96" i="10"/>
  <c r="U97" i="10"/>
  <c r="U98" i="10"/>
  <c r="U99" i="10"/>
  <c r="U100" i="10"/>
  <c r="U101" i="10"/>
  <c r="L4" i="11"/>
  <c r="R3" i="10"/>
  <c r="R4" i="10"/>
  <c r="R5" i="10"/>
  <c r="R6" i="10"/>
  <c r="R7" i="10"/>
  <c r="R8" i="10"/>
  <c r="R9" i="10"/>
  <c r="R10" i="10"/>
  <c r="R11" i="10"/>
  <c r="R12" i="10"/>
  <c r="R13" i="10"/>
  <c r="R14"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R46" i="10"/>
  <c r="R47" i="10"/>
  <c r="R48" i="10"/>
  <c r="R49" i="10"/>
  <c r="R50" i="10"/>
  <c r="R51" i="10"/>
  <c r="R52" i="10"/>
  <c r="R53" i="10"/>
  <c r="R54" i="10"/>
  <c r="R55" i="10"/>
  <c r="R56" i="10"/>
  <c r="R57" i="10"/>
  <c r="R58" i="10"/>
  <c r="R59" i="10"/>
  <c r="R60" i="10"/>
  <c r="R61" i="10"/>
  <c r="R62" i="10"/>
  <c r="R63" i="10"/>
  <c r="R64" i="10"/>
  <c r="R65" i="10"/>
  <c r="R66" i="10"/>
  <c r="R67" i="10"/>
  <c r="R68" i="10"/>
  <c r="R69" i="10"/>
  <c r="R70" i="10"/>
  <c r="R71" i="10"/>
  <c r="R72" i="10"/>
  <c r="R73" i="10"/>
  <c r="R74" i="10"/>
  <c r="R75" i="10"/>
  <c r="R76" i="10"/>
  <c r="R77" i="10"/>
  <c r="R78" i="10"/>
  <c r="R79" i="10"/>
  <c r="R80" i="10"/>
  <c r="R81" i="10"/>
  <c r="R82" i="10"/>
  <c r="R83" i="10"/>
  <c r="R84" i="10"/>
  <c r="R85" i="10"/>
  <c r="R86" i="10"/>
  <c r="R87" i="10"/>
  <c r="R88" i="10"/>
  <c r="R89" i="10"/>
  <c r="R90" i="10"/>
  <c r="R91" i="10"/>
  <c r="R92" i="10"/>
  <c r="R93" i="10"/>
  <c r="R94" i="10"/>
  <c r="R95" i="10"/>
  <c r="R96" i="10"/>
  <c r="R97" i="10"/>
  <c r="R98" i="10"/>
  <c r="R99" i="10"/>
  <c r="R100" i="10"/>
  <c r="R101" i="10"/>
  <c r="R2" i="10"/>
  <c r="G3" i="10"/>
  <c r="T3" i="10"/>
  <c r="T4" i="10"/>
  <c r="T5" i="10"/>
  <c r="T6" i="10"/>
  <c r="T7" i="10"/>
  <c r="T8" i="10"/>
  <c r="T9" i="10"/>
  <c r="T10" i="10"/>
  <c r="T11" i="10"/>
  <c r="T12" i="10"/>
  <c r="T13" i="10"/>
  <c r="T14" i="10"/>
  <c r="T15" i="10"/>
  <c r="T16" i="10"/>
  <c r="T17" i="10"/>
  <c r="T18" i="10"/>
  <c r="T19" i="10"/>
  <c r="T20" i="10"/>
  <c r="T21" i="10"/>
  <c r="T22" i="10"/>
  <c r="T23" i="10"/>
  <c r="T24" i="10"/>
  <c r="T25" i="10"/>
  <c r="T26" i="10"/>
  <c r="T27" i="10"/>
  <c r="T28" i="10"/>
  <c r="T29" i="10"/>
  <c r="T30" i="10"/>
  <c r="T31" i="10"/>
  <c r="T32" i="10"/>
  <c r="T33" i="10"/>
  <c r="T34" i="10"/>
  <c r="T35" i="10"/>
  <c r="T36" i="10"/>
  <c r="T37" i="10"/>
  <c r="T38" i="10"/>
  <c r="T39" i="10"/>
  <c r="T40" i="10"/>
  <c r="T41" i="10"/>
  <c r="T42" i="10"/>
  <c r="T43" i="10"/>
  <c r="T44" i="10"/>
  <c r="T45" i="10"/>
  <c r="T46" i="10"/>
  <c r="T47" i="10"/>
  <c r="T48" i="10"/>
  <c r="T49" i="10"/>
  <c r="T50" i="10"/>
  <c r="T51" i="10"/>
  <c r="T52" i="10"/>
  <c r="T53" i="10"/>
  <c r="T54" i="10"/>
  <c r="T55" i="10"/>
  <c r="T56" i="10"/>
  <c r="T57" i="10"/>
  <c r="T58" i="10"/>
  <c r="T59" i="10"/>
  <c r="T60" i="10"/>
  <c r="T61" i="10"/>
  <c r="T62" i="10"/>
  <c r="T63" i="10"/>
  <c r="T64" i="10"/>
  <c r="T65" i="10"/>
  <c r="T66" i="10"/>
  <c r="T67" i="10"/>
  <c r="T68" i="10"/>
  <c r="T69" i="10"/>
  <c r="T70" i="10"/>
  <c r="T71" i="10"/>
  <c r="T72" i="10"/>
  <c r="T73" i="10"/>
  <c r="T74" i="10"/>
  <c r="T75" i="10"/>
  <c r="T76" i="10"/>
  <c r="T77" i="10"/>
  <c r="T78" i="10"/>
  <c r="T79" i="10"/>
  <c r="T80" i="10"/>
  <c r="T81" i="10"/>
  <c r="T82" i="10"/>
  <c r="T83" i="10"/>
  <c r="T84" i="10"/>
  <c r="T85" i="10"/>
  <c r="T86" i="10"/>
  <c r="T87" i="10"/>
  <c r="T88" i="10"/>
  <c r="T89" i="10"/>
  <c r="T90" i="10"/>
  <c r="T91" i="10"/>
  <c r="T92" i="10"/>
  <c r="T93" i="10"/>
  <c r="T94" i="10"/>
  <c r="T95" i="10"/>
  <c r="T96" i="10"/>
  <c r="T97" i="10"/>
  <c r="T98" i="10"/>
  <c r="T99" i="10"/>
  <c r="T100" i="10"/>
  <c r="T101" i="10"/>
  <c r="T2" i="10"/>
  <c r="S3" i="10"/>
  <c r="S4" i="10"/>
  <c r="S5" i="10"/>
  <c r="S6" i="10"/>
  <c r="S7" i="10"/>
  <c r="S8" i="10"/>
  <c r="S9" i="10"/>
  <c r="S10" i="10"/>
  <c r="S11" i="10"/>
  <c r="S12" i="10"/>
  <c r="S13" i="10"/>
  <c r="S14" i="10"/>
  <c r="S15" i="10"/>
  <c r="S16" i="10"/>
  <c r="S17" i="10"/>
  <c r="S18" i="10"/>
  <c r="S19" i="10"/>
  <c r="S20" i="10"/>
  <c r="S21" i="10"/>
  <c r="S22" i="10"/>
  <c r="S23" i="10"/>
  <c r="S24" i="10"/>
  <c r="S25" i="10"/>
  <c r="S26" i="10"/>
  <c r="S27" i="10"/>
  <c r="S28" i="10"/>
  <c r="S29" i="10"/>
  <c r="S30" i="10"/>
  <c r="S31" i="10"/>
  <c r="S32" i="10"/>
  <c r="S33" i="10"/>
  <c r="S34" i="10"/>
  <c r="S35" i="10"/>
  <c r="S36" i="10"/>
  <c r="S37" i="10"/>
  <c r="S38" i="10"/>
  <c r="S39" i="10"/>
  <c r="S40" i="10"/>
  <c r="S41" i="10"/>
  <c r="S42" i="10"/>
  <c r="S43" i="10"/>
  <c r="S44" i="10"/>
  <c r="S45" i="10"/>
  <c r="S46" i="10"/>
  <c r="S47" i="10"/>
  <c r="S48" i="10"/>
  <c r="S49" i="10"/>
  <c r="S50" i="10"/>
  <c r="S51" i="10"/>
  <c r="S52" i="10"/>
  <c r="S53" i="10"/>
  <c r="S54" i="10"/>
  <c r="S55" i="10"/>
  <c r="S56" i="10"/>
  <c r="S57" i="10"/>
  <c r="S58" i="10"/>
  <c r="S59" i="10"/>
  <c r="S60" i="10"/>
  <c r="S61" i="10"/>
  <c r="S62" i="10"/>
  <c r="S63" i="10"/>
  <c r="S64" i="10"/>
  <c r="S65" i="10"/>
  <c r="S66" i="10"/>
  <c r="S67" i="10"/>
  <c r="S68" i="10"/>
  <c r="S69" i="10"/>
  <c r="S70" i="10"/>
  <c r="S71" i="10"/>
  <c r="S72" i="10"/>
  <c r="S73" i="10"/>
  <c r="S74" i="10"/>
  <c r="S75" i="10"/>
  <c r="S76" i="10"/>
  <c r="S77" i="10"/>
  <c r="S78" i="10"/>
  <c r="S79" i="10"/>
  <c r="S80" i="10"/>
  <c r="S81" i="10"/>
  <c r="S82" i="10"/>
  <c r="S83" i="10"/>
  <c r="S84" i="10"/>
  <c r="S85" i="10"/>
  <c r="S86" i="10"/>
  <c r="S87" i="10"/>
  <c r="S88" i="10"/>
  <c r="S89" i="10"/>
  <c r="S90" i="10"/>
  <c r="S91" i="10"/>
  <c r="S92" i="10"/>
  <c r="S93" i="10"/>
  <c r="S94" i="10"/>
  <c r="S95" i="10"/>
  <c r="S96" i="10"/>
  <c r="S97" i="10"/>
  <c r="S98" i="10"/>
  <c r="S99" i="10"/>
  <c r="S100" i="10"/>
  <c r="S101" i="10"/>
  <c r="S2" i="10"/>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2"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2"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2" i="10"/>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2"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20FB2D-E290-45FD-ACE6-F7A4E834CD9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CEA6611F-E957-4220-969D-4178D2DD7AF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<sst xmlns="http://schemas.openxmlformats.org/spreadsheetml/2006/main" count="1224" uniqueCount="345">
  <si>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</si>
  <si>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</si>
  <si>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</si>
  <si>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</si>
  <si>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</si>
  <si>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</si>
  <si>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</si>
  <si>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</si>
  <si>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</si>
  <si>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</si>
  <si>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</si>
  <si>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</si>
  <si>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</si>
  <si>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</si>
  <si>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</si>
  <si>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</si>
  <si>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</si>
  <si>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</si>
  <si>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</si>
  <si>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</si>
  <si>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</si>
  <si>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</si>
  <si>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</si>
  <si>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</si>
  <si>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</si>
  <si>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</si>
  <si>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</si>
  <si>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</si>
  <si>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</si>
  <si>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</si>
  <si>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</si>
  <si>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</si>
  <si>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</si>
  <si>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</si>
  <si>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</si>
  <si>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</si>
  <si>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</si>
  <si>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</si>
  <si>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</si>
  <si>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</si>
  <si>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</si>
  <si>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</si>
  <si>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</si>
  <si>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</si>
  <si>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</si>
  <si>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</si>
  <si>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</si>
  <si>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</si>
  <si>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</si>
  <si>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</si>
  <si>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</si>
  <si>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</si>
  <si>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</si>
  <si>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</si>
  <si>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</si>
  <si>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</si>
  <si>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</si>
  <si>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</si>
  <si>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</si>
  <si>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</si>
  <si>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</si>
  <si>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</si>
  <si>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</si>
  <si>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</si>
  <si>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</si>
  <si>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</si>
  <si>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</si>
  <si>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</si>
  <si>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</si>
  <si>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</si>
  <si>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</si>
  <si>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</si>
  <si>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</si>
  <si>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</si>
  <si>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</si>
  <si>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</si>
  <si>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</si>
  <si>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</si>
  <si>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</si>
  <si>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</si>
  <si>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</si>
  <si>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</si>
  <si>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</si>
  <si>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</si>
  <si>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</si>
  <si>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</si>
  <si>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</si>
  <si>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</si>
  <si>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</si>
  <si>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</si>
  <si>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</si>
  <si>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</si>
  <si>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</si>
  <si>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</si>
  <si>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</si>
  <si>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</si>
  <si>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</si>
  <si>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</si>
  <si>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</si>
  <si>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</si>
  <si>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</si>
  <si>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</si>
  <si>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</si>
  <si>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</si>
  <si>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</si>
  <si>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</si>
  <si>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</si>
  <si>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</si>
  <si>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</si>
  <si>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</si>
  <si>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</si>
  <si>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</si>
  <si>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</si>
  <si>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</si>
  <si>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</si>
  <si>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</si>
  <si>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</si>
  <si>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</si>
  <si>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</si>
  <si>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</si>
  <si>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</si>
  <si>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</si>
  <si>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</si>
  <si>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</si>
  <si>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</si>
  <si>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</si>
  <si>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</si>
  <si>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</si>
  <si>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</si>
  <si>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</si>
  <si>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</si>
  <si>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</si>
  <si>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</si>
  <si>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</si>
  <si>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</si>
  <si>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</si>
  <si>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</si>
  <si>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</si>
  <si>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</si>
  <si>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</si>
  <si>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</si>
  <si>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</si>
  <si>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</si>
  <si>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</si>
  <si>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</si>
  <si>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</si>
  <si>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</si>
  <si>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</si>
  <si>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</si>
  <si>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</si>
  <si>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</si>
  <si>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</si>
  <si>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</si>
  <si>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</si>
  <si>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</si>
  <si>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</si>
  <si>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</si>
  <si>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</si>
  <si>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</si>
  <si>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</si>
  <si>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</si>
  <si>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</si>
  <si>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</si>
  <si>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</si>
  <si>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</si>
  <si>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</si>
  <si>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</si>
  <si>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</si>
  <si>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</si>
  <si>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</si>
  <si>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</si>
  <si>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</si>
  <si>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</si>
  <si>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</si>
  <si>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</si>
  <si>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</si>
  <si>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</si>
  <si>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</si>
  <si>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</si>
  <si>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</si>
  <si>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</si>
  <si>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</si>
  <si>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</si>
  <si>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</si>
  <si>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</si>
  <si>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</si>
  <si>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</si>
  <si>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</si>
  <si>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</si>
  <si>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</si>
  <si>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</si>
  <si>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</si>
  <si>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</si>
  <si>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</si>
  <si>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</si>
  <si>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</si>
  <si>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</si>
  <si>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</si>
  <si>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</si>
  <si>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</si>
  <si>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</si>
  <si>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</si>
  <si>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</si>
  <si>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</si>
  <si>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</si>
  <si>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</si>
  <si>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</si>
  <si>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</si>
  <si>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</si>
  <si>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</si>
  <si>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</si>
  <si>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</si>
  <si>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</si>
  <si>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</si>
  <si>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</si>
  <si>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</si>
  <si>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</si>
  <si>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</si>
  <si>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</si>
  <si>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</si>
  <si>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</si>
  <si>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</si>
  <si>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</si>
  <si>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</si>
  <si>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</si>
  <si>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</si>
  <si>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</si>
  <si>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</si>
  <si>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</si>
  <si>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</si>
  <si>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</si>
  <si>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</si>
  <si>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</si>
  <si>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</si>
  <si>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</si>
  <si>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</si>
  <si>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</si>
  <si>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</si>
  <si>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</si>
  <si>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</si>
  <si>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</si>
  <si>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</si>
  <si>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</si>
  <si>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</si>
  <si>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</si>
  <si>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</si>
  <si>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</si>
  <si>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</si>
  <si>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</si>
  <si>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</si>
  <si>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</si>
  <si>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</si>
  <si>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</si>
  <si>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</si>
  <si>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</si>
  <si>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</si>
  <si>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</si>
  <si>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</si>
  <si>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</si>
  <si>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</si>
  <si>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</si>
  <si>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</si>
  <si>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</si>
  <si>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</si>
  <si>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</si>
  <si>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</si>
  <si>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</si>
  <si>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</si>
  <si>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</si>
  <si>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</si>
  <si>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</si>
  <si>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</si>
  <si>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</si>
  <si>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</si>
  <si>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</si>
  <si>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</si>
  <si>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</si>
  <si>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</si>
  <si>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</si>
  <si>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</si>
  <si>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</si>
  <si>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</si>
  <si>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</si>
  <si>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</si>
  <si>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</si>
  <si>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</si>
  <si>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</si>
  <si>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</si>
  <si>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</si>
  <si>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</si>
  <si>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</si>
  <si>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</si>
  <si>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</si>
  <si>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</si>
  <si>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</si>
  <si>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</si>
  <si>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</si>
  <si>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</si>
  <si>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</si>
  <si>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</si>
  <si>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</si>
  <si>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</si>
  <si>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</si>
  <si>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</si>
  <si>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</si>
  <si>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</si>
  <si>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</si>
  <si>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</si>
  <si>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</si>
  <si>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</si>
  <si>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</si>
  <si>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Order Flag</t>
  </si>
  <si>
    <t>Delivery Performance</t>
  </si>
  <si>
    <t>Delivery Days</t>
  </si>
  <si>
    <t>Not Delivered</t>
  </si>
  <si>
    <t>Row Labels</t>
  </si>
  <si>
    <t>Grand Total</t>
  </si>
  <si>
    <t>Column Labels</t>
  </si>
  <si>
    <t>Sum of Total Amount</t>
  </si>
  <si>
    <t>Sum of Quantity</t>
  </si>
  <si>
    <t>Average of Delivery Days</t>
  </si>
  <si>
    <t>(All)</t>
  </si>
  <si>
    <t>Count of Order ID</t>
  </si>
  <si>
    <t>Slow</t>
  </si>
  <si>
    <t>Fast</t>
  </si>
  <si>
    <t xml:space="preserve">Cancellation Rate </t>
  </si>
  <si>
    <t>Total Revenue</t>
  </si>
  <si>
    <t>NA</t>
  </si>
  <si>
    <t xml:space="preserve"> % of Fast Deliveries</t>
  </si>
  <si>
    <t>Count of Delivery Status</t>
  </si>
  <si>
    <t>Target Sales</t>
  </si>
  <si>
    <t>Actual Sales</t>
  </si>
  <si>
    <t xml:space="preserve"> Sales</t>
  </si>
  <si>
    <t>1. What is the most successful product category in terms of revenue?</t>
  </si>
  <si>
    <t>Answer:</t>
  </si>
  <si>
    <t>Electronics is the most successful product category, contributing the highest share of total revenue across all regions.</t>
  </si>
  <si>
    <t>2. Which region has the highest order cancellation rate?</t>
  </si>
  <si>
    <t>The North region has the highest order cancellation rate, indicating a higher proportion of cancelled orders compared to other regions.</t>
  </si>
  <si>
    <t>3. How many orders were delivered within 2 days?</t>
  </si>
  <si>
    <t>4. How has the use of XLOOKUP simplified cross-sheet analysis?</t>
  </si>
  <si>
    <t>XLOOKUP enabled seamless integration of customer, product, and regional target data into the sales dataset. This reduced manual data matching, improved accuracy, and allowed efficient cross-sheet analysis for reporting and dashboard creation.</t>
  </si>
  <si>
    <t>5. What recommendations would you give to improve delivery performance?</t>
  </si>
  <si>
    <t>Improving coordination with fulfillment partners, especially in high-cancellation regions, and optimizing logistics for faster delivery timelines can help enhance overall delivery performance and customer satisfaction.</t>
  </si>
  <si>
    <t>Workforce &amp; Sales Intelligence Dashboard Insights</t>
  </si>
  <si>
    <r>
      <t xml:space="preserve">A total of </t>
    </r>
    <r>
      <rPr>
        <b/>
        <sz val="11"/>
        <color theme="1"/>
        <rFont val="Calibri"/>
        <family val="2"/>
        <scheme val="minor"/>
      </rPr>
      <t>11 orders</t>
    </r>
    <r>
      <rPr>
        <sz val="11"/>
        <color theme="1"/>
        <rFont val="Calibri"/>
        <family val="2"/>
        <scheme val="minor"/>
      </rPr>
      <t xml:space="preserve"> were delivered within 2 days, classified as fast deliveries based on delivery performance logic.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</si>
</sst>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scheme val="minor"/>
    </font>
    <font>
      <b/>
      <sz val="11"/>
      <color theme="1"/>
      <name val="Calibri"/>
      <family val="2"/>
      <scheme val="minor"/>
    </font>
    <font>
      <b/>
      <sz val="11"/>
      <color theme="0"/>
      <name val="Calibri"/>
      <scheme val="minor"/>
    </font>
    <font>
      <b/>
      <sz val="13.5"/>
      <color theme="1"/>
      <name val="Calibri"/>
      <family val="2"/>
      <scheme val="minor"/>
    </font>
    <font>
      <b/>
      <sz val="20"/>
      <color theme="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8"/>
        <bgColor theme="8"/>
      </patternFill>
    </fill>
    <fill>
      <patternFill patternType="solid">
        <fgColor theme="6" tint="0.39997558519241921"/>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theme="8"/>
      </top>
      <bottom/>
      <diagonal/>
    </border>
  </borders>
  <cellStyleXfs count="2">
    <xf numFmtId="0" fontId="0" fillId="0" borderId="0"/>
    <xf numFmtId="9" fontId="6" fillId="0" borderId="0" applyFont="0" applyFill="0" applyBorder="0" applyAlignment="0" applyProtection="0"/>
  </cellStyleXfs>
  <cellXfs count="43">
    <xf numFmtId="0" fontId="0" fillId="0" borderId="0" xfId="0"/>
    <xf numFmtId="0" fontId="5" fillId="0" borderId="0" xfId="0" applyFont="1" applyAlignment="1">
      <alignment horizontal="left"/>
    </xf>
    <xf numFmtId="0" fontId="5" fillId="0" borderId="0" xfId="0" applyFont="1" applyAlignment="1">
      <alignment horizontal="right"/>
    </xf>
    <xf numFmtId="0" fontId="5" fillId="0" borderId="1" xfId="0" applyFont="1" applyBorder="1" applyAlignment="1">
      <alignment horizontal="left" vertical="center" wrapText="1"/>
    </xf>
    <xf numFmtId="0" fontId="5" fillId="0" borderId="1" xfId="0" applyFont="1" applyBorder="1" applyAlignment="1">
      <alignment horizontal="right" vertical="center" wrapText="1"/>
    </xf>
    <xf numFmtId="0" fontId="6" fillId="0" borderId="0" xfId="0" applyFont="1" applyAlignment="1">
      <alignment vertical="center"/>
    </xf>
    <xf numFmtId="2" fontId="0" fillId="0" borderId="0" xfId="0" applyNumberFormat="1"/>
    <xf numFmtId="164" fontId="0" fillId="0" borderId="0" xfId="0" applyNumberFormat="1"/>
    <xf numFmtId="1" fontId="0" fillId="0" borderId="0" xfId="0" applyNumberFormat="1"/>
    <xf numFmtId="0" fontId="5" fillId="0" borderId="2" xfId="0" applyFont="1" applyBorder="1" applyAlignment="1">
      <alignment horizontal="left" vertical="center"/>
    </xf>
    <xf numFmtId="0" fontId="4" fillId="0" borderId="4" xfId="0" applyFont="1" applyBorder="1" applyAlignment="1">
      <alignment horizontal="left" vertical="center"/>
    </xf>
    <xf numFmtId="0" fontId="4" fillId="0" borderId="6" xfId="0" applyFont="1" applyBorder="1" applyAlignment="1">
      <alignment horizontal="left" vertical="center"/>
    </xf>
    <xf numFmtId="0" fontId="5" fillId="0" borderId="7" xfId="0" applyFont="1" applyBorder="1" applyAlignment="1">
      <alignment horizontal="left" vertical="center"/>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5" xfId="0" applyFont="1" applyBorder="1" applyAlignment="1">
      <alignment horizontal="right" vertical="center" wrapText="1"/>
    </xf>
    <xf numFmtId="0" fontId="4"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8" xfId="0" applyFont="1" applyBorder="1" applyAlignment="1">
      <alignment horizontal="right" vertical="center" wrapText="1"/>
    </xf>
    <xf numFmtId="0" fontId="5" fillId="0" borderId="9" xfId="0" applyFont="1" applyBorder="1" applyAlignment="1">
      <alignment horizontal="left" vertical="center" wrapText="1"/>
    </xf>
    <xf numFmtId="3" fontId="5" fillId="0" borderId="3" xfId="0" applyNumberFormat="1" applyFont="1" applyBorder="1"/>
    <xf numFmtId="3" fontId="5" fillId="0" borderId="9" xfId="0" applyNumberFormat="1" applyFont="1" applyBorder="1"/>
    <xf numFmtId="0" fontId="0" fillId="0" borderId="0" xfId="0" pivotButton="1"/>
    <xf numFmtId="0" fontId="0" fillId="0" borderId="0" xfId="0" applyAlignment="1">
      <alignment horizontal="left"/>
    </xf>
    <xf numFmtId="10" fontId="0" fillId="0" borderId="0" xfId="0" applyNumberFormat="1"/>
    <xf numFmtId="0" fontId="0" fillId="0" borderId="10" xfId="0" applyBorder="1"/>
    <xf numFmtId="14" fontId="0" fillId="0" borderId="10" xfId="0" applyNumberFormat="1" applyBorder="1"/>
    <xf numFmtId="0" fontId="0" fillId="0" borderId="10" xfId="0" applyBorder="1" applyAlignment="1">
      <alignment wrapText="1"/>
    </xf>
    <xf numFmtId="1" fontId="0" fillId="0" borderId="10" xfId="0" applyNumberFormat="1" applyBorder="1"/>
    <xf numFmtId="0" fontId="8" fillId="3" borderId="0" xfId="0" applyFont="1" applyFill="1"/>
    <xf numFmtId="2" fontId="8" fillId="3" borderId="0" xfId="0" applyNumberFormat="1" applyFont="1" applyFill="1"/>
    <xf numFmtId="1" fontId="8" fillId="3" borderId="0" xfId="0" applyNumberFormat="1" applyFont="1" applyFill="1"/>
    <xf numFmtId="0" fontId="7" fillId="2" borderId="0" xfId="0" applyFont="1" applyFill="1"/>
    <xf numFmtId="9" fontId="0" fillId="0" borderId="0" xfId="1" applyFont="1"/>
    <xf numFmtId="0" fontId="3" fillId="0" borderId="10" xfId="0" applyFont="1" applyBorder="1"/>
    <xf numFmtId="0" fontId="0" fillId="4" borderId="0" xfId="0" applyFill="1"/>
    <xf numFmtId="0" fontId="9" fillId="0" borderId="0" xfId="0" applyFont="1" applyAlignment="1">
      <alignment vertical="center"/>
    </xf>
    <xf numFmtId="0" fontId="7" fillId="0" borderId="0" xfId="0" applyFont="1"/>
    <xf numFmtId="0" fontId="2" fillId="0" borderId="0" xfId="0" applyFont="1"/>
    <xf numFmtId="0" fontId="10" fillId="0" borderId="0" xfId="0" applyFont="1" applyAlignment="1">
      <alignment vertical="center"/>
    </xf>
  </cellXfs>
  <cellStyles count="2">
    <cellStyle name="Normal" xfId="0" builtinId="0"/>
    <cellStyle name="Percent" xfId="1" builtinId="5"/>
  </cellStyles>
  <dxfs count="65">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numFmt numFmtId="3" formatCode="#,##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8"/>
        </top>
        <bottom/>
        <vertical/>
        <horizontal/>
      </border>
    </dxf>
    <dxf>
      <font>
        <b val="0"/>
        <i val="0"/>
        <strike val="0"/>
        <condense val="0"/>
        <extend val="0"/>
        <outline val="0"/>
        <shadow val="0"/>
        <u val="none"/>
        <vertAlign val="baseline"/>
        <sz val="11"/>
        <color theme="1"/>
        <name val="Calibri"/>
        <scheme val="minor"/>
      </font>
      <numFmt numFmtId="1" formatCode="0"/>
      <border diagonalUp="0" diagonalDown="0">
        <left/>
        <right/>
        <top style="thin">
          <color theme="8"/>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scheme val="minor"/>
      </font>
      <numFmt numFmtId="1" formatCode="0"/>
      <border diagonalUp="0" diagonalDown="0">
        <left/>
        <right/>
        <top style="thin">
          <color theme="8"/>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border diagonalUp="0" diagonalDown="0">
        <left/>
        <right/>
        <top style="thin">
          <color theme="8"/>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8"/>
        </top>
        <bottom/>
        <vertical/>
        <horizontal/>
      </border>
    </dxf>
    <dxf>
      <font>
        <b val="0"/>
        <i val="0"/>
        <strike val="0"/>
        <condense val="0"/>
        <extend val="0"/>
        <outline val="0"/>
        <shadow val="0"/>
        <u val="none"/>
        <vertAlign val="baseline"/>
        <sz val="11"/>
        <color theme="1"/>
        <name val="Calibri"/>
        <scheme val="minor"/>
      </font>
      <numFmt numFmtId="19" formatCode="dd/mm/yyyy"/>
      <border diagonalUp="0" diagonalDown="0">
        <left/>
        <right/>
        <top style="thin">
          <color theme="8"/>
        </top>
        <bottom/>
        <vertical/>
        <horizontal/>
      </border>
    </dxf>
    <dxf>
      <font>
        <b val="0"/>
        <i val="0"/>
        <strike val="0"/>
        <condense val="0"/>
        <extend val="0"/>
        <outline val="0"/>
        <shadow val="0"/>
        <u val="none"/>
        <vertAlign val="baseline"/>
        <sz val="11"/>
        <color theme="1"/>
        <name val="Calibri"/>
        <scheme val="minor"/>
      </font>
      <numFmt numFmtId="19" formatCode="dd/mm/yyyy"/>
      <border diagonalUp="0" diagonalDown="0">
        <left/>
        <right/>
        <top style="thin">
          <color theme="8"/>
        </top>
        <bottom/>
        <vertical/>
        <horizontal/>
      </border>
    </dxf>
    <dxf>
      <font>
        <b val="0"/>
        <i val="0"/>
        <strike val="0"/>
        <condense val="0"/>
        <extend val="0"/>
        <outline val="0"/>
        <shadow val="0"/>
        <u val="none"/>
        <vertAlign val="baseline"/>
        <sz val="11"/>
        <color theme="1"/>
        <name val="Calibri"/>
        <scheme val="minor"/>
      </font>
      <numFmt numFmtId="19" formatCode="dd/mm/yyyy"/>
      <border diagonalUp="0" diagonalDown="0">
        <left/>
        <right/>
        <top style="thin">
          <color theme="8"/>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8"/>
        </top>
        <bottom/>
        <vertical/>
        <horizontal/>
      </border>
    </dxf>
    <dxf>
      <border outline="0">
        <left style="thin">
          <color theme="8"/>
        </left>
        <right style="thin">
          <color theme="8"/>
        </right>
        <top style="thin">
          <color theme="8"/>
        </top>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8"/>
          <bgColor theme="8"/>
        </patternFill>
      </fill>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64" formatCode="0.0"/>
    </dxf>
    <dxf>
      <numFmt numFmtId="1" formatCode="0"/>
    </dxf>
    <dxf>
      <numFmt numFmtId="1" formatCode="0"/>
    </dxf>
    <dxf>
      <fill>
        <patternFill>
          <bgColor theme="3" tint="0.14996795556505021"/>
        </patternFill>
      </fill>
    </dxf>
  </dxfs>
  <tableStyles count="1" defaultTableStyle="TableStyleMedium2" defaultPivotStyle="PivotStyleLight16">
    <tableStyle name="Slicer Style 1" pivot="0" table="0" count="1" xr9:uid="{CAC8E5C4-CAF3-486A-BAE4-63D77332CFC9}">
      <tableStyleElement type="headerRow" dxfId="64"/>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complete.xlsx]Pivots!SalesbyRegionandCat._tbl</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a:t>
            </a:r>
            <a:r>
              <a:rPr lang="en-IN" baseline="0"/>
              <a:t> Region &amp; Categories</a:t>
            </a:r>
            <a:endParaRPr lang="en-IN"/>
          </a:p>
        </c:rich>
      </c:tx>
      <c:layout>
        <c:manualLayout>
          <c:xMode val="edge"/>
          <c:yMode val="edge"/>
          <c:x val="2.4558910597986969E-2"/>
          <c:y val="7.740685806477369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tar"/>
          <c:size val="5"/>
          <c:spPr>
            <a:no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020633744050206E-2"/>
          <c:y val="9.8809854319683615E-2"/>
          <c:w val="0.76633658080875489"/>
          <c:h val="0.88107106711448868"/>
        </c:manualLayout>
      </c:layout>
      <c:barChart>
        <c:barDir val="bar"/>
        <c:grouping val="clustered"/>
        <c:varyColors val="0"/>
        <c:ser>
          <c:idx val="0"/>
          <c:order val="0"/>
          <c:tx>
            <c:strRef>
              <c:f>Pivots!$B$27:$B$28</c:f>
              <c:strCache>
                <c:ptCount val="1"/>
                <c:pt idx="0">
                  <c:v>Books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Pivots!$A$29:$A$34</c:f>
              <c:strCache>
                <c:ptCount val="5"/>
                <c:pt idx="0">
                  <c:v>Central</c:v>
                </c:pt>
                <c:pt idx="1">
                  <c:v>East</c:v>
                </c:pt>
                <c:pt idx="2">
                  <c:v>North</c:v>
                </c:pt>
                <c:pt idx="3">
                  <c:v>South</c:v>
                </c:pt>
                <c:pt idx="4">
                  <c:v>West</c:v>
                </c:pt>
              </c:strCache>
            </c:strRef>
          </c:cat>
          <c:val>
            <c:numRef>
              <c:f>Pivots!$B$29:$B$34</c:f>
              <c:numCache>
                <c:formatCode>0</c:formatCode>
                <c:ptCount val="5"/>
                <c:pt idx="0">
                  <c:v>84</c:v>
                </c:pt>
                <c:pt idx="1">
                  <c:v>394</c:v>
                </c:pt>
                <c:pt idx="2">
                  <c:v>464</c:v>
                </c:pt>
                <c:pt idx="3">
                  <c:v>423</c:v>
                </c:pt>
                <c:pt idx="4">
                  <c:v>350</c:v>
                </c:pt>
              </c:numCache>
            </c:numRef>
          </c:val>
          <c:extLst>
            <c:ext xmlns:c16="http://schemas.microsoft.com/office/drawing/2014/chart" uri="{C3380CC4-5D6E-409C-BE32-E72D297353CC}">
              <c16:uniqueId val="{00000000-2D57-4E00-B9C0-DD7870AAC3F6}"/>
            </c:ext>
          </c:extLst>
        </c:ser>
        <c:ser>
          <c:idx val="1"/>
          <c:order val="1"/>
          <c:tx>
            <c:strRef>
              <c:f>Pivots!$C$27:$C$28</c:f>
              <c:strCache>
                <c:ptCount val="1"/>
                <c:pt idx="0">
                  <c:v>Electronics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Pivots!$A$29:$A$34</c:f>
              <c:strCache>
                <c:ptCount val="5"/>
                <c:pt idx="0">
                  <c:v>Central</c:v>
                </c:pt>
                <c:pt idx="1">
                  <c:v>East</c:v>
                </c:pt>
                <c:pt idx="2">
                  <c:v>North</c:v>
                </c:pt>
                <c:pt idx="3">
                  <c:v>South</c:v>
                </c:pt>
                <c:pt idx="4">
                  <c:v>West</c:v>
                </c:pt>
              </c:strCache>
            </c:strRef>
          </c:cat>
          <c:val>
            <c:numRef>
              <c:f>Pivots!$C$29:$C$34</c:f>
              <c:numCache>
                <c:formatCode>0</c:formatCode>
                <c:ptCount val="5"/>
                <c:pt idx="0">
                  <c:v>2662</c:v>
                </c:pt>
                <c:pt idx="1">
                  <c:v>365</c:v>
                </c:pt>
                <c:pt idx="2">
                  <c:v>6522</c:v>
                </c:pt>
                <c:pt idx="3">
                  <c:v>3938</c:v>
                </c:pt>
                <c:pt idx="4">
                  <c:v>1722</c:v>
                </c:pt>
              </c:numCache>
            </c:numRef>
          </c:val>
          <c:extLst>
            <c:ext xmlns:c16="http://schemas.microsoft.com/office/drawing/2014/chart" uri="{C3380CC4-5D6E-409C-BE32-E72D297353CC}">
              <c16:uniqueId val="{0000003A-687C-48C0-95CE-0EE0005951D2}"/>
            </c:ext>
          </c:extLst>
        </c:ser>
        <c:ser>
          <c:idx val="2"/>
          <c:order val="2"/>
          <c:tx>
            <c:strRef>
              <c:f>Pivots!$D$27:$D$28</c:f>
              <c:strCache>
                <c:ptCount val="1"/>
                <c:pt idx="0">
                  <c:v>Fashion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Pivots!$A$29:$A$34</c:f>
              <c:strCache>
                <c:ptCount val="5"/>
                <c:pt idx="0">
                  <c:v>Central</c:v>
                </c:pt>
                <c:pt idx="1">
                  <c:v>East</c:v>
                </c:pt>
                <c:pt idx="2">
                  <c:v>North</c:v>
                </c:pt>
                <c:pt idx="3">
                  <c:v>South</c:v>
                </c:pt>
                <c:pt idx="4">
                  <c:v>West</c:v>
                </c:pt>
              </c:strCache>
            </c:strRef>
          </c:cat>
          <c:val>
            <c:numRef>
              <c:f>Pivots!$D$29:$D$34</c:f>
              <c:numCache>
                <c:formatCode>0</c:formatCode>
                <c:ptCount val="5"/>
                <c:pt idx="0">
                  <c:v>210</c:v>
                </c:pt>
                <c:pt idx="1">
                  <c:v>711</c:v>
                </c:pt>
                <c:pt idx="2">
                  <c:v>788</c:v>
                </c:pt>
                <c:pt idx="3">
                  <c:v>1032</c:v>
                </c:pt>
                <c:pt idx="4">
                  <c:v>1131</c:v>
                </c:pt>
              </c:numCache>
            </c:numRef>
          </c:val>
          <c:extLst>
            <c:ext xmlns:c16="http://schemas.microsoft.com/office/drawing/2014/chart" uri="{C3380CC4-5D6E-409C-BE32-E72D297353CC}">
              <c16:uniqueId val="{0000003B-687C-48C0-95CE-0EE0005951D2}"/>
            </c:ext>
          </c:extLst>
        </c:ser>
        <c:ser>
          <c:idx val="3"/>
          <c:order val="3"/>
          <c:tx>
            <c:strRef>
              <c:f>Pivots!$E$27:$E$28</c:f>
              <c:strCache>
                <c:ptCount val="1"/>
                <c:pt idx="0">
                  <c:v>Home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Pivots!$A$29:$A$34</c:f>
              <c:strCache>
                <c:ptCount val="5"/>
                <c:pt idx="0">
                  <c:v>Central</c:v>
                </c:pt>
                <c:pt idx="1">
                  <c:v>East</c:v>
                </c:pt>
                <c:pt idx="2">
                  <c:v>North</c:v>
                </c:pt>
                <c:pt idx="3">
                  <c:v>South</c:v>
                </c:pt>
                <c:pt idx="4">
                  <c:v>West</c:v>
                </c:pt>
              </c:strCache>
            </c:strRef>
          </c:cat>
          <c:val>
            <c:numRef>
              <c:f>Pivots!$E$29:$E$34</c:f>
              <c:numCache>
                <c:formatCode>0</c:formatCode>
                <c:ptCount val="5"/>
                <c:pt idx="0">
                  <c:v>2063</c:v>
                </c:pt>
                <c:pt idx="1">
                  <c:v>741</c:v>
                </c:pt>
                <c:pt idx="2">
                  <c:v>2131</c:v>
                </c:pt>
                <c:pt idx="3">
                  <c:v>1881</c:v>
                </c:pt>
                <c:pt idx="4">
                  <c:v>4135</c:v>
                </c:pt>
              </c:numCache>
            </c:numRef>
          </c:val>
          <c:extLst>
            <c:ext xmlns:c16="http://schemas.microsoft.com/office/drawing/2014/chart" uri="{C3380CC4-5D6E-409C-BE32-E72D297353CC}">
              <c16:uniqueId val="{00000040-687C-48C0-95CE-0EE0005951D2}"/>
            </c:ext>
          </c:extLst>
        </c:ser>
        <c:ser>
          <c:idx val="4"/>
          <c:order val="4"/>
          <c:tx>
            <c:strRef>
              <c:f>Pivots!$F$27:$F$28</c:f>
              <c:strCache>
                <c:ptCount val="1"/>
                <c:pt idx="0">
                  <c:v>Toys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Pivots!$A$29:$A$34</c:f>
              <c:strCache>
                <c:ptCount val="5"/>
                <c:pt idx="0">
                  <c:v>Central</c:v>
                </c:pt>
                <c:pt idx="1">
                  <c:v>East</c:v>
                </c:pt>
                <c:pt idx="2">
                  <c:v>North</c:v>
                </c:pt>
                <c:pt idx="3">
                  <c:v>South</c:v>
                </c:pt>
                <c:pt idx="4">
                  <c:v>West</c:v>
                </c:pt>
              </c:strCache>
            </c:strRef>
          </c:cat>
          <c:val>
            <c:numRef>
              <c:f>Pivots!$F$29:$F$34</c:f>
              <c:numCache>
                <c:formatCode>0</c:formatCode>
                <c:ptCount val="5"/>
                <c:pt idx="0">
                  <c:v>437</c:v>
                </c:pt>
                <c:pt idx="1">
                  <c:v>1424</c:v>
                </c:pt>
                <c:pt idx="2">
                  <c:v>586</c:v>
                </c:pt>
                <c:pt idx="3">
                  <c:v>43</c:v>
                </c:pt>
                <c:pt idx="4">
                  <c:v>1021</c:v>
                </c:pt>
              </c:numCache>
            </c:numRef>
          </c:val>
          <c:extLst>
            <c:ext xmlns:c16="http://schemas.microsoft.com/office/drawing/2014/chart" uri="{C3380CC4-5D6E-409C-BE32-E72D297353CC}">
              <c16:uniqueId val="{00000041-687C-48C0-95CE-0EE0005951D2}"/>
            </c:ext>
          </c:extLst>
        </c:ser>
        <c:dLbls>
          <c:dLblPos val="outEnd"/>
          <c:showLegendKey val="0"/>
          <c:showVal val="1"/>
          <c:showCatName val="0"/>
          <c:showSerName val="0"/>
          <c:showPercent val="0"/>
          <c:showBubbleSize val="0"/>
        </c:dLbls>
        <c:gapWidth val="115"/>
        <c:overlap val="-20"/>
        <c:axId val="327642735"/>
        <c:axId val="327644655"/>
      </c:barChart>
      <c:catAx>
        <c:axId val="3276427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7644655"/>
        <c:crosses val="autoZero"/>
        <c:auto val="1"/>
        <c:lblAlgn val="ctr"/>
        <c:lblOffset val="100"/>
        <c:noMultiLvlLbl val="0"/>
      </c:catAx>
      <c:valAx>
        <c:axId val="327644655"/>
        <c:scaling>
          <c:orientation val="minMax"/>
        </c:scaling>
        <c:delete val="1"/>
        <c:axPos val="b"/>
        <c:numFmt formatCode="0" sourceLinked="1"/>
        <c:majorTickMark val="none"/>
        <c:minorTickMark val="none"/>
        <c:tickLblPos val="nextTo"/>
        <c:crossAx val="32764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complete.xlsx]Pivots!DeliveruStatus_tbl</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Delivery Status</a:t>
            </a:r>
          </a:p>
        </c:rich>
      </c:tx>
      <c:layout>
        <c:manualLayout>
          <c:xMode val="edge"/>
          <c:yMode val="edge"/>
          <c:x val="1.8258347219144658E-2"/>
          <c:y val="3.48258706467661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108000" tIns="72000" rIns="72000" bIns="10800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5690947653583152"/>
          <c:y val="0.12772220545602531"/>
          <c:w val="0.47442144388796431"/>
          <c:h val="0.84440323008404439"/>
        </c:manualLayout>
      </c:layout>
      <c:doughnutChart>
        <c:varyColors val="1"/>
        <c:ser>
          <c:idx val="0"/>
          <c:order val="0"/>
          <c:tx>
            <c:strRef>
              <c:f>Pivots!$J$9</c:f>
              <c:strCache>
                <c:ptCount val="1"/>
                <c:pt idx="0">
                  <c:v>Total</c:v>
                </c:pt>
              </c:strCache>
            </c:strRef>
          </c:tx>
          <c:explosion val="3"/>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1A2-4D58-8333-A891056D7EC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1A2-4D58-8333-A891056D7EC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1A2-4D58-8333-A891056D7EC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108000" tIns="72000" rIns="72000" bIns="10800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Pivots!$I$10:$I$13</c:f>
              <c:strCache>
                <c:ptCount val="3"/>
                <c:pt idx="0">
                  <c:v>Cancelled</c:v>
                </c:pt>
                <c:pt idx="1">
                  <c:v>Delivered</c:v>
                </c:pt>
                <c:pt idx="2">
                  <c:v>In Transit</c:v>
                </c:pt>
              </c:strCache>
            </c:strRef>
          </c:cat>
          <c:val>
            <c:numRef>
              <c:f>Pivots!$J$10:$J$13</c:f>
              <c:numCache>
                <c:formatCode>0</c:formatCode>
                <c:ptCount val="3"/>
                <c:pt idx="0">
                  <c:v>6961</c:v>
                </c:pt>
                <c:pt idx="1">
                  <c:v>13656</c:v>
                </c:pt>
                <c:pt idx="2">
                  <c:v>14641</c:v>
                </c:pt>
              </c:numCache>
            </c:numRef>
          </c:val>
          <c:extLst>
            <c:ext xmlns:c16="http://schemas.microsoft.com/office/drawing/2014/chart" uri="{C3380CC4-5D6E-409C-BE32-E72D297353CC}">
              <c16:uniqueId val="{00000006-91A2-4D58-8333-A891056D7EC9}"/>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complete.xlsx]Pivots!PivotTable17</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Category-wise Revenue</a:t>
            </a:r>
            <a:endParaRPr lang="en-US"/>
          </a:p>
        </c:rich>
      </c:tx>
      <c:layout>
        <c:manualLayout>
          <c:xMode val="edge"/>
          <c:yMode val="edge"/>
          <c:x val="3.5763779527559061E-2"/>
          <c:y val="4.6296296296296294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Pivots!$J$27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23D-4830-8946-A8298569715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23D-4830-8946-A8298569715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23D-4830-8946-A8298569715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F23D-4830-8946-A8298569715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F23D-4830-8946-A8298569715E}"/>
              </c:ext>
            </c:extLst>
          </c:dPt>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Pivots!$I$28:$I$33</c:f>
              <c:strCache>
                <c:ptCount val="5"/>
                <c:pt idx="0">
                  <c:v>Books</c:v>
                </c:pt>
                <c:pt idx="1">
                  <c:v>Electronics</c:v>
                </c:pt>
                <c:pt idx="2">
                  <c:v>Fashion</c:v>
                </c:pt>
                <c:pt idx="3">
                  <c:v>Home</c:v>
                </c:pt>
                <c:pt idx="4">
                  <c:v>Toys</c:v>
                </c:pt>
              </c:strCache>
            </c:strRef>
          </c:cat>
          <c:val>
            <c:numRef>
              <c:f>Pivots!$J$28:$J$33</c:f>
              <c:numCache>
                <c:formatCode>0</c:formatCode>
                <c:ptCount val="5"/>
                <c:pt idx="0">
                  <c:v>1715</c:v>
                </c:pt>
                <c:pt idx="1">
                  <c:v>15209</c:v>
                </c:pt>
                <c:pt idx="2">
                  <c:v>3872</c:v>
                </c:pt>
                <c:pt idx="3">
                  <c:v>10951</c:v>
                </c:pt>
                <c:pt idx="4">
                  <c:v>3511</c:v>
                </c:pt>
              </c:numCache>
            </c:numRef>
          </c:val>
          <c:extLst>
            <c:ext xmlns:c16="http://schemas.microsoft.com/office/drawing/2014/chart" uri="{C3380CC4-5D6E-409C-BE32-E72D297353CC}">
              <c16:uniqueId val="{0000000A-F23D-4830-8946-A8298569715E}"/>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complete.xlsx]Pivots!PivotTable1</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Sales by Payment Method</a:t>
            </a:r>
            <a:endParaRPr lang="en-US"/>
          </a:p>
        </c:rich>
      </c:tx>
      <c:layout>
        <c:manualLayout>
          <c:xMode val="edge"/>
          <c:yMode val="edge"/>
          <c:x val="2.141141732283464E-2"/>
          <c:y val="2.298850574712643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Pivots!$M$27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Pivots!$L$28:$L$33</c:f>
              <c:strCache>
                <c:ptCount val="5"/>
                <c:pt idx="0">
                  <c:v>Amazon Pay</c:v>
                </c:pt>
                <c:pt idx="1">
                  <c:v>Apple Pay</c:v>
                </c:pt>
                <c:pt idx="2">
                  <c:v>Credit Card</c:v>
                </c:pt>
                <c:pt idx="3">
                  <c:v>Debit Card</c:v>
                </c:pt>
                <c:pt idx="4">
                  <c:v>PayPal</c:v>
                </c:pt>
              </c:strCache>
            </c:strRef>
          </c:cat>
          <c:val>
            <c:numRef>
              <c:f>Pivots!$M$28:$M$33</c:f>
              <c:numCache>
                <c:formatCode>0</c:formatCode>
                <c:ptCount val="5"/>
                <c:pt idx="0">
                  <c:v>4719</c:v>
                </c:pt>
                <c:pt idx="1">
                  <c:v>6144</c:v>
                </c:pt>
                <c:pt idx="2">
                  <c:v>9398</c:v>
                </c:pt>
                <c:pt idx="3">
                  <c:v>8348</c:v>
                </c:pt>
                <c:pt idx="4">
                  <c:v>6649</c:v>
                </c:pt>
              </c:numCache>
            </c:numRef>
          </c:val>
          <c:extLst>
            <c:ext xmlns:c16="http://schemas.microsoft.com/office/drawing/2014/chart" uri="{C3380CC4-5D6E-409C-BE32-E72D297353CC}">
              <c16:uniqueId val="{00000000-16DB-4EEE-BD73-883A2AAACF46}"/>
            </c:ext>
          </c:extLst>
        </c:ser>
        <c:dLbls>
          <c:dLblPos val="outEnd"/>
          <c:showLegendKey val="0"/>
          <c:showVal val="1"/>
          <c:showCatName val="0"/>
          <c:showSerName val="0"/>
          <c:showPercent val="0"/>
          <c:showBubbleSize val="0"/>
        </c:dLbls>
        <c:gapWidth val="100"/>
        <c:overlap val="-24"/>
        <c:axId val="1885287823"/>
        <c:axId val="1885304623"/>
      </c:barChart>
      <c:catAx>
        <c:axId val="18852878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5304623"/>
        <c:crosses val="autoZero"/>
        <c:auto val="1"/>
        <c:lblAlgn val="ctr"/>
        <c:lblOffset val="100"/>
        <c:noMultiLvlLbl val="0"/>
      </c:catAx>
      <c:valAx>
        <c:axId val="1885304623"/>
        <c:scaling>
          <c:orientation val="minMax"/>
        </c:scaling>
        <c:delete val="1"/>
        <c:axPos val="l"/>
        <c:numFmt formatCode="0" sourceLinked="1"/>
        <c:majorTickMark val="none"/>
        <c:minorTickMark val="none"/>
        <c:tickLblPos val="nextTo"/>
        <c:crossAx val="188528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complete.xlsx]Pivots!PivotTable8</c:name>
    <c:fmtId val="5"/>
  </c:pivotSource>
  <c:chart>
    <c:title>
      <c:tx>
        <c:rich>
          <a:bodyPr rot="0" spcFirstLastPara="1" vertOverflow="ellipsis" vert="horz" wrap="square" anchor="ctr" anchorCtr="1"/>
          <a:lstStyle/>
          <a:p>
            <a:pPr algn="l">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baseline="0">
                <a:effectLst>
                  <a:outerShdw blurRad="50800" dist="38100" dir="5400000" algn="t" rotWithShape="0">
                    <a:prstClr val="black">
                      <a:alpha val="40000"/>
                    </a:prstClr>
                  </a:outerShdw>
                </a:effectLst>
              </a:rPr>
              <a:t>Target vs Actual Sales by Region</a:t>
            </a:r>
            <a:endParaRPr lang="en-IN" sz="1200"/>
          </a:p>
        </c:rich>
      </c:tx>
      <c:layout>
        <c:manualLayout>
          <c:xMode val="edge"/>
          <c:yMode val="edge"/>
          <c:x val="1.071559748725103E-2"/>
          <c:y val="0"/>
        </c:manualLayout>
      </c:layout>
      <c:overlay val="0"/>
      <c:spPr>
        <a:noFill/>
        <a:ln w="3175">
          <a:noFill/>
        </a:ln>
        <a:effectLst/>
      </c:spPr>
      <c:txPr>
        <a:bodyPr rot="0" spcFirstLastPara="1" vertOverflow="ellipsis" vert="horz" wrap="square" anchor="ctr" anchorCtr="1"/>
        <a:lstStyle/>
        <a:p>
          <a:pPr algn="l">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2.0019038668229608E-3"/>
          <c:y val="4.0799226515925262E-3"/>
          <c:w val="0.99799799799799804"/>
          <c:h val="0.84826628888962097"/>
        </c:manualLayout>
      </c:layout>
      <c:bar3DChart>
        <c:barDir val="col"/>
        <c:grouping val="clustered"/>
        <c:varyColors val="0"/>
        <c:ser>
          <c:idx val="0"/>
          <c:order val="0"/>
          <c:tx>
            <c:strRef>
              <c:f>Pivots!$P$29</c:f>
              <c:strCache>
                <c:ptCount val="1"/>
                <c:pt idx="0">
                  <c:v>Sales Target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Pivots!$O$30:$O$35</c:f>
              <c:strCache>
                <c:ptCount val="5"/>
                <c:pt idx="0">
                  <c:v>West</c:v>
                </c:pt>
                <c:pt idx="1">
                  <c:v>South</c:v>
                </c:pt>
                <c:pt idx="2">
                  <c:v>North</c:v>
                </c:pt>
                <c:pt idx="3">
                  <c:v>East</c:v>
                </c:pt>
                <c:pt idx="4">
                  <c:v>Central</c:v>
                </c:pt>
              </c:strCache>
            </c:strRef>
          </c:cat>
          <c:val>
            <c:numRef>
              <c:f>Pivots!$P$30:$P$35</c:f>
              <c:numCache>
                <c:formatCode>0</c:formatCode>
                <c:ptCount val="5"/>
                <c:pt idx="0">
                  <c:v>90750</c:v>
                </c:pt>
                <c:pt idx="1">
                  <c:v>91500</c:v>
                </c:pt>
                <c:pt idx="2">
                  <c:v>105000</c:v>
                </c:pt>
                <c:pt idx="3">
                  <c:v>50500</c:v>
                </c:pt>
                <c:pt idx="4">
                  <c:v>97500</c:v>
                </c:pt>
              </c:numCache>
            </c:numRef>
          </c:val>
          <c:extLst>
            <c:ext xmlns:c16="http://schemas.microsoft.com/office/drawing/2014/chart" uri="{C3380CC4-5D6E-409C-BE32-E72D297353CC}">
              <c16:uniqueId val="{00000000-CDA4-4319-8EBF-1CE2AB16EBF1}"/>
            </c:ext>
          </c:extLst>
        </c:ser>
        <c:ser>
          <c:idx val="1"/>
          <c:order val="1"/>
          <c:tx>
            <c:strRef>
              <c:f>Pivots!$Q$29</c:f>
              <c:strCache>
                <c:ptCount val="1"/>
                <c:pt idx="0">
                  <c:v>Actual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Pivots!$O$30:$O$35</c:f>
              <c:strCache>
                <c:ptCount val="5"/>
                <c:pt idx="0">
                  <c:v>West</c:v>
                </c:pt>
                <c:pt idx="1">
                  <c:v>South</c:v>
                </c:pt>
                <c:pt idx="2">
                  <c:v>North</c:v>
                </c:pt>
                <c:pt idx="3">
                  <c:v>East</c:v>
                </c:pt>
                <c:pt idx="4">
                  <c:v>Central</c:v>
                </c:pt>
              </c:strCache>
            </c:strRef>
          </c:cat>
          <c:val>
            <c:numRef>
              <c:f>Pivots!$Q$30:$Q$35</c:f>
              <c:numCache>
                <c:formatCode>0</c:formatCode>
                <c:ptCount val="5"/>
                <c:pt idx="0">
                  <c:v>8359</c:v>
                </c:pt>
                <c:pt idx="1">
                  <c:v>7317</c:v>
                </c:pt>
                <c:pt idx="2">
                  <c:v>10491</c:v>
                </c:pt>
                <c:pt idx="3">
                  <c:v>3635</c:v>
                </c:pt>
                <c:pt idx="4">
                  <c:v>5456</c:v>
                </c:pt>
              </c:numCache>
            </c:numRef>
          </c:val>
          <c:extLst>
            <c:ext xmlns:c16="http://schemas.microsoft.com/office/drawing/2014/chart" uri="{C3380CC4-5D6E-409C-BE32-E72D297353CC}">
              <c16:uniqueId val="{00000001-CDA4-4319-8EBF-1CE2AB16EBF1}"/>
            </c:ext>
          </c:extLst>
        </c:ser>
        <c:dLbls>
          <c:showLegendKey val="0"/>
          <c:showVal val="1"/>
          <c:showCatName val="0"/>
          <c:showSerName val="0"/>
          <c:showPercent val="0"/>
          <c:showBubbleSize val="0"/>
        </c:dLbls>
        <c:gapWidth val="150"/>
        <c:shape val="box"/>
        <c:axId val="28167007"/>
        <c:axId val="28175167"/>
        <c:axId val="0"/>
      </c:bar3DChart>
      <c:catAx>
        <c:axId val="28167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175167"/>
        <c:crosses val="autoZero"/>
        <c:auto val="1"/>
        <c:lblAlgn val="ctr"/>
        <c:lblOffset val="100"/>
        <c:noMultiLvlLbl val="0"/>
      </c:catAx>
      <c:valAx>
        <c:axId val="28175167"/>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2816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complete.xlsx]Pivots!PivotTable9</c:name>
    <c:fmtId val="13"/>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t>Customer Type Contribution</a:t>
            </a:r>
            <a:endParaRPr lang="en-US" sz="1100"/>
          </a:p>
        </c:rich>
      </c:tx>
      <c:layout>
        <c:manualLayout>
          <c:xMode val="edge"/>
          <c:yMode val="edge"/>
          <c:x val="2.7090113735783006E-2"/>
          <c:y val="2.7777777777777776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918416447943987E-2"/>
              <c:y val="3.25153105861767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101596675415572E-2"/>
              <c:y val="9.2365121026538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8771106736657917E-2"/>
              <c:y val="-0.1286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101596675415572E-2"/>
              <c:y val="9.2365121026538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8771106736657917E-2"/>
              <c:y val="-0.1286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918416447943987E-2"/>
              <c:y val="3.25153105861767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101596675415572E-2"/>
              <c:y val="9.2365121026538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8771106736657917E-2"/>
              <c:y val="-0.1286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918416447943987E-2"/>
              <c:y val="3.25153105861767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Pivots!$F$19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9DC-406C-AA1E-A13371FE5F7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9DC-406C-AA1E-A13371FE5F7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9DC-406C-AA1E-A13371FE5F7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9DC-406C-AA1E-A13371FE5F7A}"/>
              </c:ext>
            </c:extLst>
          </c:dPt>
          <c:dLbls>
            <c:dLbl>
              <c:idx val="0"/>
              <c:layout>
                <c:manualLayout>
                  <c:x val="-6.9101596675415572E-2"/>
                  <c:y val="9.2365121026538349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9DC-406C-AA1E-A13371FE5F7A}"/>
                </c:ext>
              </c:extLst>
            </c:dLbl>
            <c:dLbl>
              <c:idx val="1"/>
              <c:layout>
                <c:manualLayout>
                  <c:x val="4.8771106736657917E-2"/>
                  <c:y val="-0.1286111111111111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9DC-406C-AA1E-A13371FE5F7A}"/>
                </c:ext>
              </c:extLst>
            </c:dLbl>
            <c:dLbl>
              <c:idx val="3"/>
              <c:layout>
                <c:manualLayout>
                  <c:x val="7.2918416447943987E-2"/>
                  <c:y val="3.2515310586176772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9DC-406C-AA1E-A13371FE5F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Pivots!$E$20:$E$24</c:f>
              <c:strCache>
                <c:ptCount val="4"/>
                <c:pt idx="0">
                  <c:v>Business</c:v>
                </c:pt>
                <c:pt idx="1">
                  <c:v>Individual</c:v>
                </c:pt>
                <c:pt idx="2">
                  <c:v>NA</c:v>
                </c:pt>
                <c:pt idx="3">
                  <c:v>Prime</c:v>
                </c:pt>
              </c:strCache>
            </c:strRef>
          </c:cat>
          <c:val>
            <c:numRef>
              <c:f>Pivots!$F$20:$F$24</c:f>
              <c:numCache>
                <c:formatCode>0</c:formatCode>
                <c:ptCount val="4"/>
                <c:pt idx="0">
                  <c:v>10791</c:v>
                </c:pt>
                <c:pt idx="1">
                  <c:v>11956</c:v>
                </c:pt>
                <c:pt idx="2">
                  <c:v>124</c:v>
                </c:pt>
                <c:pt idx="3">
                  <c:v>12387</c:v>
                </c:pt>
              </c:numCache>
            </c:numRef>
          </c:val>
          <c:extLst>
            <c:ext xmlns:c16="http://schemas.microsoft.com/office/drawing/2014/chart" uri="{C3380CC4-5D6E-409C-BE32-E72D297353CC}">
              <c16:uniqueId val="{00000008-C9DC-406C-AA1E-A13371FE5F7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complete.xlsx]Pivots!PivotTable10</c:name>
    <c:fmtId val="26"/>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Fulfillment Partner Performance</a:t>
            </a:r>
            <a:endParaRPr lang="en-US" sz="1200"/>
          </a:p>
        </c:rich>
      </c:tx>
      <c:layout>
        <c:manualLayout>
          <c:xMode val="edge"/>
          <c:yMode val="edge"/>
          <c:x val="2.6354111986001745E-2"/>
          <c:y val="2.7777777777777776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01263123359579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34104177602799646"/>
                  <c:h val="0.11560185185185186"/>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01263123359579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34104177602799646"/>
                  <c:h val="0.11560185185185186"/>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01263123359579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34104177602799646"/>
                  <c:h val="0.11560185185185186"/>
                </c:manualLayout>
              </c15:layout>
            </c:ext>
          </c:extLst>
        </c:dLbl>
      </c:pivotFmt>
    </c:pivotFmts>
    <c:plotArea>
      <c:layout>
        <c:manualLayout>
          <c:layoutTarget val="inner"/>
          <c:xMode val="edge"/>
          <c:yMode val="edge"/>
          <c:x val="4.4444444444444446E-2"/>
          <c:y val="0.16236559139784945"/>
          <c:w val="0.95555566128252101"/>
          <c:h val="0.81612903225806444"/>
        </c:manualLayout>
      </c:layout>
      <c:barChart>
        <c:barDir val="bar"/>
        <c:grouping val="clustered"/>
        <c:varyColors val="0"/>
        <c:ser>
          <c:idx val="0"/>
          <c:order val="0"/>
          <c:tx>
            <c:strRef>
              <c:f>Pivots!$B$37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7D05-4A46-9B2F-777D8C6ED99B}"/>
              </c:ext>
            </c:extLst>
          </c:dPt>
          <c:dLbls>
            <c:dLbl>
              <c:idx val="0"/>
              <c:layout>
                <c:manualLayout>
                  <c:x val="-0.48012631233595798"/>
                  <c:y val="0"/>
                </c:manualLayout>
              </c:layout>
              <c:dLblPos val="outEnd"/>
              <c:showLegendKey val="0"/>
              <c:showVal val="1"/>
              <c:showCatName val="1"/>
              <c:showSerName val="0"/>
              <c:showPercent val="0"/>
              <c:showBubbleSize val="0"/>
              <c:extLst>
                <c:ext xmlns:c15="http://schemas.microsoft.com/office/drawing/2012/chart" uri="{CE6537A1-D6FC-4f65-9D91-7224C49458BB}">
                  <c15:layout>
                    <c:manualLayout>
                      <c:w val="0.34104177602799646"/>
                      <c:h val="0.11560185185185186"/>
                    </c:manualLayout>
                  </c15:layout>
                </c:ext>
                <c:ext xmlns:c16="http://schemas.microsoft.com/office/drawing/2014/chart" uri="{C3380CC4-5D6E-409C-BE32-E72D297353CC}">
                  <c16:uniqueId val="{00000000-7D05-4A46-9B2F-777D8C6ED9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Pivots!$A$38:$A$43</c:f>
              <c:strCache>
                <c:ptCount val="5"/>
                <c:pt idx="0">
                  <c:v>Amazon Logistics</c:v>
                </c:pt>
                <c:pt idx="1">
                  <c:v>DHL</c:v>
                </c:pt>
                <c:pt idx="2">
                  <c:v>FedEx</c:v>
                </c:pt>
                <c:pt idx="3">
                  <c:v>UPS</c:v>
                </c:pt>
                <c:pt idx="4">
                  <c:v>USPS</c:v>
                </c:pt>
              </c:strCache>
            </c:strRef>
          </c:cat>
          <c:val>
            <c:numRef>
              <c:f>Pivots!$B$38:$B$43</c:f>
              <c:numCache>
                <c:formatCode>0</c:formatCode>
                <c:ptCount val="5"/>
                <c:pt idx="0">
                  <c:v>29</c:v>
                </c:pt>
                <c:pt idx="1">
                  <c:v>21</c:v>
                </c:pt>
                <c:pt idx="2">
                  <c:v>15</c:v>
                </c:pt>
                <c:pt idx="3">
                  <c:v>21</c:v>
                </c:pt>
                <c:pt idx="4">
                  <c:v>14</c:v>
                </c:pt>
              </c:numCache>
            </c:numRef>
          </c:val>
          <c:extLst>
            <c:ext xmlns:c16="http://schemas.microsoft.com/office/drawing/2014/chart" uri="{C3380CC4-5D6E-409C-BE32-E72D297353CC}">
              <c16:uniqueId val="{00000001-7D05-4A46-9B2F-777D8C6ED99B}"/>
            </c:ext>
          </c:extLst>
        </c:ser>
        <c:dLbls>
          <c:dLblPos val="inBase"/>
          <c:showLegendKey val="0"/>
          <c:showVal val="1"/>
          <c:showCatName val="0"/>
          <c:showSerName val="0"/>
          <c:showPercent val="0"/>
          <c:showBubbleSize val="0"/>
        </c:dLbls>
        <c:gapWidth val="115"/>
        <c:overlap val="-20"/>
        <c:axId val="49922655"/>
        <c:axId val="49924575"/>
      </c:barChart>
      <c:catAx>
        <c:axId val="49922655"/>
        <c:scaling>
          <c:orientation val="minMax"/>
        </c:scaling>
        <c:delete val="1"/>
        <c:axPos val="l"/>
        <c:numFmt formatCode="General" sourceLinked="1"/>
        <c:majorTickMark val="none"/>
        <c:minorTickMark val="none"/>
        <c:tickLblPos val="nextTo"/>
        <c:crossAx val="49924575"/>
        <c:crosses val="autoZero"/>
        <c:auto val="1"/>
        <c:lblAlgn val="ctr"/>
        <c:lblOffset val="100"/>
        <c:noMultiLvlLbl val="0"/>
      </c:catAx>
      <c:valAx>
        <c:axId val="49924575"/>
        <c:scaling>
          <c:orientation val="minMax"/>
        </c:scaling>
        <c:delete val="1"/>
        <c:axPos val="b"/>
        <c:numFmt formatCode="0" sourceLinked="1"/>
        <c:majorTickMark val="none"/>
        <c:minorTickMark val="none"/>
        <c:tickLblPos val="nextTo"/>
        <c:crossAx val="4992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24</xdr:col>
      <xdr:colOff>95250</xdr:colOff>
      <xdr:row>5</xdr:row>
      <xdr:rowOff>180975</xdr:rowOff>
    </xdr:from>
    <xdr:to>
      <xdr:col>29</xdr:col>
      <xdr:colOff>247649</xdr:colOff>
      <xdr:row>11</xdr:row>
      <xdr:rowOff>133349</xdr:rowOff>
    </xdr:to>
    <xdr:sp macro="" textlink="">
      <xdr:nvSpPr>
        <xdr:cNvPr id="24" name="Rectangle 23">
          <a:extLst>
            <a:ext uri="{FF2B5EF4-FFF2-40B4-BE49-F238E27FC236}">
              <a16:creationId xmlns:a16="http://schemas.microsoft.com/office/drawing/2014/main" id="{9D239105-7150-412E-BC03-6722AA1E5B9C}"/>
            </a:ext>
          </a:extLst>
        </xdr:cNvPr>
        <xdr:cNvSpPr/>
      </xdr:nvSpPr>
      <xdr:spPr>
        <a:xfrm>
          <a:off x="14725650" y="1133475"/>
          <a:ext cx="3200399" cy="1095374"/>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19</xdr:row>
      <xdr:rowOff>171451</xdr:rowOff>
    </xdr:from>
    <xdr:to>
      <xdr:col>8</xdr:col>
      <xdr:colOff>9524</xdr:colOff>
      <xdr:row>23</xdr:row>
      <xdr:rowOff>57151</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97B79353-0B13-47D0-8377-6DDC8C9338C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3790951"/>
              <a:ext cx="4886324"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581025</xdr:colOff>
      <xdr:row>10</xdr:row>
      <xdr:rowOff>152401</xdr:rowOff>
    </xdr:from>
    <xdr:to>
      <xdr:col>8</xdr:col>
      <xdr:colOff>0</xdr:colOff>
      <xdr:row>19</xdr:row>
      <xdr:rowOff>171451</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90075F39-CCF4-411B-BF71-192FF1C5FFD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409825" y="2057401"/>
              <a:ext cx="2466975"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180975</xdr:rowOff>
    </xdr:from>
    <xdr:to>
      <xdr:col>3</xdr:col>
      <xdr:colOff>581024</xdr:colOff>
      <xdr:row>20</xdr:row>
      <xdr:rowOff>0</xdr:rowOff>
    </xdr:to>
    <mc:AlternateContent xmlns:mc="http://schemas.openxmlformats.org/markup-compatibility/2006" xmlns:a14="http://schemas.microsoft.com/office/drawing/2010/main">
      <mc:Choice Requires="a14">
        <xdr:graphicFrame macro="">
          <xdr:nvGraphicFramePr>
            <xdr:cNvPr id="4" name="Payment Method 1">
              <a:extLst>
                <a:ext uri="{FF2B5EF4-FFF2-40B4-BE49-F238E27FC236}">
                  <a16:creationId xmlns:a16="http://schemas.microsoft.com/office/drawing/2014/main" id="{2B250C1E-AECC-475E-AF02-9B1CDA3DE839}"/>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0" y="2085975"/>
              <a:ext cx="2409824" cy="1724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123825</xdr:rowOff>
    </xdr:from>
    <xdr:to>
      <xdr:col>8</xdr:col>
      <xdr:colOff>0</xdr:colOff>
      <xdr:row>11</xdr:row>
      <xdr:rowOff>0</xdr:rowOff>
    </xdr:to>
    <mc:AlternateContent xmlns:mc="http://schemas.openxmlformats.org/markup-compatibility/2006" xmlns:a14="http://schemas.microsoft.com/office/drawing/2010/main">
      <mc:Choice Requires="a14">
        <xdr:graphicFrame macro="">
          <xdr:nvGraphicFramePr>
            <xdr:cNvPr id="5" name="Delivery Status 1">
              <a:extLst>
                <a:ext uri="{FF2B5EF4-FFF2-40B4-BE49-F238E27FC236}">
                  <a16:creationId xmlns:a16="http://schemas.microsoft.com/office/drawing/2014/main" id="{7CBD26A8-DD0E-48A3-AB25-130FC51D83F7}"/>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0" y="1457325"/>
              <a:ext cx="4876800" cy="638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8</xdr:col>
      <xdr:colOff>0</xdr:colOff>
      <xdr:row>7</xdr:row>
      <xdr:rowOff>142500</xdr:rowOff>
    </xdr:to>
    <mc:AlternateContent xmlns:mc="http://schemas.openxmlformats.org/markup-compatibility/2006" xmlns:a14="http://schemas.microsoft.com/office/drawing/2010/main">
      <mc:Choice Requires="a14">
        <xdr:graphicFrame macro="">
          <xdr:nvGraphicFramePr>
            <xdr:cNvPr id="6" name="Months (Order Date) 1">
              <a:extLst>
                <a:ext uri="{FF2B5EF4-FFF2-40B4-BE49-F238E27FC236}">
                  <a16:creationId xmlns:a16="http://schemas.microsoft.com/office/drawing/2014/main" id="{B87FF9B6-C36E-425D-8E71-F301ACA3E7E9}"/>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0" y="0"/>
              <a:ext cx="4876800" cy="14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609599</xdr:colOff>
      <xdr:row>0</xdr:row>
      <xdr:rowOff>1</xdr:rowOff>
    </xdr:from>
    <xdr:to>
      <xdr:col>18</xdr:col>
      <xdr:colOff>599123</xdr:colOff>
      <xdr:row>14</xdr:row>
      <xdr:rowOff>104775</xdr:rowOff>
    </xdr:to>
    <xdr:graphicFrame macro="">
      <xdr:nvGraphicFramePr>
        <xdr:cNvPr id="7" name="Chart 6">
          <a:extLst>
            <a:ext uri="{FF2B5EF4-FFF2-40B4-BE49-F238E27FC236}">
              <a16:creationId xmlns:a16="http://schemas.microsoft.com/office/drawing/2014/main" id="{A385EAC6-2972-48B6-B315-937157501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9526</xdr:colOff>
      <xdr:row>23</xdr:row>
      <xdr:rowOff>9526</xdr:rowOff>
    </xdr:from>
    <xdr:to>
      <xdr:col>8</xdr:col>
      <xdr:colOff>38100</xdr:colOff>
      <xdr:row>36</xdr:row>
      <xdr:rowOff>9525</xdr:rowOff>
    </xdr:to>
    <xdr:graphicFrame macro="">
      <xdr:nvGraphicFramePr>
        <xdr:cNvPr id="8" name="Chart 7">
          <a:extLst>
            <a:ext uri="{FF2B5EF4-FFF2-40B4-BE49-F238E27FC236}">
              <a16:creationId xmlns:a16="http://schemas.microsoft.com/office/drawing/2014/main" id="{1C04D88E-3972-42AD-9AF9-7CBBC75E0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14</xdr:row>
      <xdr:rowOff>76200</xdr:rowOff>
    </xdr:from>
    <xdr:to>
      <xdr:col>19</xdr:col>
      <xdr:colOff>0</xdr:colOff>
      <xdr:row>26</xdr:row>
      <xdr:rowOff>0</xdr:rowOff>
    </xdr:to>
    <xdr:graphicFrame macro="">
      <xdr:nvGraphicFramePr>
        <xdr:cNvPr id="10" name="Chart 9">
          <a:extLst>
            <a:ext uri="{FF2B5EF4-FFF2-40B4-BE49-F238E27FC236}">
              <a16:creationId xmlns:a16="http://schemas.microsoft.com/office/drawing/2014/main" id="{B3496175-EF14-4093-94D6-58861B5F9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9525</xdr:colOff>
      <xdr:row>25</xdr:row>
      <xdr:rowOff>180974</xdr:rowOff>
    </xdr:from>
    <xdr:to>
      <xdr:col>19</xdr:col>
      <xdr:colOff>28575</xdr:colOff>
      <xdr:row>36</xdr:row>
      <xdr:rowOff>19049</xdr:rowOff>
    </xdr:to>
    <xdr:graphicFrame macro="">
      <xdr:nvGraphicFramePr>
        <xdr:cNvPr id="11" name="Chart 10">
          <a:extLst>
            <a:ext uri="{FF2B5EF4-FFF2-40B4-BE49-F238E27FC236}">
              <a16:creationId xmlns:a16="http://schemas.microsoft.com/office/drawing/2014/main" id="{3BD170D8-6251-4E77-BA33-4A987B526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590551</xdr:colOff>
      <xdr:row>0</xdr:row>
      <xdr:rowOff>0</xdr:rowOff>
    </xdr:from>
    <xdr:to>
      <xdr:col>24</xdr:col>
      <xdr:colOff>76201</xdr:colOff>
      <xdr:row>5</xdr:row>
      <xdr:rowOff>142874</xdr:rowOff>
    </xdr:to>
    <xdr:sp macro="" textlink="">
      <xdr:nvSpPr>
        <xdr:cNvPr id="9" name="Rectangle 8">
          <a:extLst>
            <a:ext uri="{FF2B5EF4-FFF2-40B4-BE49-F238E27FC236}">
              <a16:creationId xmlns:a16="http://schemas.microsoft.com/office/drawing/2014/main" id="{7975A6C2-110E-99C6-D274-E6183EEA30B5}"/>
            </a:ext>
          </a:extLst>
        </xdr:cNvPr>
        <xdr:cNvSpPr/>
      </xdr:nvSpPr>
      <xdr:spPr>
        <a:xfrm>
          <a:off x="11563351" y="0"/>
          <a:ext cx="3143250" cy="1095374"/>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333375</xdr:colOff>
      <xdr:row>0</xdr:row>
      <xdr:rowOff>57150</xdr:rowOff>
    </xdr:from>
    <xdr:to>
      <xdr:col>23</xdr:col>
      <xdr:colOff>314324</xdr:colOff>
      <xdr:row>2</xdr:row>
      <xdr:rowOff>95250</xdr:rowOff>
    </xdr:to>
    <xdr:sp macro="" textlink="">
      <xdr:nvSpPr>
        <xdr:cNvPr id="13" name="Rectangle 12">
          <a:extLst>
            <a:ext uri="{FF2B5EF4-FFF2-40B4-BE49-F238E27FC236}">
              <a16:creationId xmlns:a16="http://schemas.microsoft.com/office/drawing/2014/main" id="{B8102E7B-7BB6-F3B9-D96F-9FBF9924D55A}"/>
            </a:ext>
          </a:extLst>
        </xdr:cNvPr>
        <xdr:cNvSpPr/>
      </xdr:nvSpPr>
      <xdr:spPr>
        <a:xfrm>
          <a:off x="11915775" y="57150"/>
          <a:ext cx="2419349"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Total</a:t>
          </a:r>
          <a:r>
            <a:rPr lang="en-IN" sz="2400" b="1" baseline="0"/>
            <a:t> Revenue</a:t>
          </a:r>
          <a:endParaRPr lang="en-IN" sz="2400" b="1"/>
        </a:p>
      </xdr:txBody>
    </xdr:sp>
    <xdr:clientData/>
  </xdr:twoCellAnchor>
  <xdr:twoCellAnchor>
    <xdr:from>
      <xdr:col>19</xdr:col>
      <xdr:colOff>342900</xdr:colOff>
      <xdr:row>3</xdr:row>
      <xdr:rowOff>0</xdr:rowOff>
    </xdr:from>
    <xdr:to>
      <xdr:col>23</xdr:col>
      <xdr:colOff>323849</xdr:colOff>
      <xdr:row>5</xdr:row>
      <xdr:rowOff>38100</xdr:rowOff>
    </xdr:to>
    <xdr:sp macro="" textlink="">
      <xdr:nvSpPr>
        <xdr:cNvPr id="14" name="Rectangle 13">
          <a:extLst>
            <a:ext uri="{FF2B5EF4-FFF2-40B4-BE49-F238E27FC236}">
              <a16:creationId xmlns:a16="http://schemas.microsoft.com/office/drawing/2014/main" id="{5E39E930-A32A-44F6-B9D1-4F5343511CC9}"/>
            </a:ext>
          </a:extLst>
        </xdr:cNvPr>
        <xdr:cNvSpPr/>
      </xdr:nvSpPr>
      <xdr:spPr>
        <a:xfrm>
          <a:off x="11925300" y="571500"/>
          <a:ext cx="2419349"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b="1"/>
        </a:p>
      </xdr:txBody>
    </xdr:sp>
    <xdr:clientData/>
  </xdr:twoCellAnchor>
  <xdr:twoCellAnchor>
    <xdr:from>
      <xdr:col>24</xdr:col>
      <xdr:colOff>104775</xdr:colOff>
      <xdr:row>0</xdr:row>
      <xdr:rowOff>9525</xdr:rowOff>
    </xdr:from>
    <xdr:to>
      <xdr:col>29</xdr:col>
      <xdr:colOff>257174</xdr:colOff>
      <xdr:row>5</xdr:row>
      <xdr:rowOff>152399</xdr:rowOff>
    </xdr:to>
    <xdr:sp macro="" textlink="">
      <xdr:nvSpPr>
        <xdr:cNvPr id="16" name="Rectangle 15">
          <a:extLst>
            <a:ext uri="{FF2B5EF4-FFF2-40B4-BE49-F238E27FC236}">
              <a16:creationId xmlns:a16="http://schemas.microsoft.com/office/drawing/2014/main" id="{7BDEB2F9-FBF2-481A-A323-B2838BECE202}"/>
            </a:ext>
          </a:extLst>
        </xdr:cNvPr>
        <xdr:cNvSpPr/>
      </xdr:nvSpPr>
      <xdr:spPr>
        <a:xfrm>
          <a:off x="14735175" y="9525"/>
          <a:ext cx="3200399" cy="1095374"/>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247650</xdr:colOff>
      <xdr:row>0</xdr:row>
      <xdr:rowOff>57150</xdr:rowOff>
    </xdr:from>
    <xdr:to>
      <xdr:col>28</xdr:col>
      <xdr:colOff>476249</xdr:colOff>
      <xdr:row>2</xdr:row>
      <xdr:rowOff>95250</xdr:rowOff>
    </xdr:to>
    <xdr:sp macro="" textlink="">
      <xdr:nvSpPr>
        <xdr:cNvPr id="17" name="Rectangle 16">
          <a:extLst>
            <a:ext uri="{FF2B5EF4-FFF2-40B4-BE49-F238E27FC236}">
              <a16:creationId xmlns:a16="http://schemas.microsoft.com/office/drawing/2014/main" id="{20C5E5AF-02E9-41B2-83F1-8B0CBF62B359}"/>
            </a:ext>
          </a:extLst>
        </xdr:cNvPr>
        <xdr:cNvSpPr/>
      </xdr:nvSpPr>
      <xdr:spPr>
        <a:xfrm>
          <a:off x="14878050" y="57150"/>
          <a:ext cx="2666999"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Total</a:t>
          </a:r>
          <a:r>
            <a:rPr lang="en-IN" sz="2400" b="1" baseline="0"/>
            <a:t> Quantity</a:t>
          </a:r>
          <a:endParaRPr lang="en-IN" sz="2400" b="1"/>
        </a:p>
      </xdr:txBody>
    </xdr:sp>
    <xdr:clientData/>
  </xdr:twoCellAnchor>
  <xdr:twoCellAnchor>
    <xdr:from>
      <xdr:col>24</xdr:col>
      <xdr:colOff>257175</xdr:colOff>
      <xdr:row>2</xdr:row>
      <xdr:rowOff>161925</xdr:rowOff>
    </xdr:from>
    <xdr:to>
      <xdr:col>28</xdr:col>
      <xdr:colOff>238124</xdr:colOff>
      <xdr:row>5</xdr:row>
      <xdr:rowOff>9525</xdr:rowOff>
    </xdr:to>
    <xdr:sp macro="" textlink="Pivots!$C$4">
      <xdr:nvSpPr>
        <xdr:cNvPr id="18" name="Rectangle 17">
          <a:extLst>
            <a:ext uri="{FF2B5EF4-FFF2-40B4-BE49-F238E27FC236}">
              <a16:creationId xmlns:a16="http://schemas.microsoft.com/office/drawing/2014/main" id="{5ECC4C78-A426-4B15-A79B-4332DD433793}"/>
            </a:ext>
          </a:extLst>
        </xdr:cNvPr>
        <xdr:cNvSpPr/>
      </xdr:nvSpPr>
      <xdr:spPr>
        <a:xfrm>
          <a:off x="14887575" y="542925"/>
          <a:ext cx="2419349"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FD9451A-034E-4714-A065-829E464E1B1A}" type="TxLink">
            <a:rPr lang="en-US" sz="2000" b="1" i="0" u="none" strike="noStrike">
              <a:solidFill>
                <a:schemeClr val="bg1"/>
              </a:solidFill>
              <a:latin typeface="Calibri"/>
              <a:ea typeface="Calibri"/>
              <a:cs typeface="Calibri"/>
            </a:rPr>
            <a:pPr algn="ctr"/>
            <a:t>312</a:t>
          </a:fld>
          <a:endParaRPr lang="en-IN" sz="2000" b="1">
            <a:solidFill>
              <a:schemeClr val="bg1"/>
            </a:solidFill>
          </a:endParaRPr>
        </a:p>
      </xdr:txBody>
    </xdr:sp>
    <xdr:clientData/>
  </xdr:twoCellAnchor>
  <xdr:twoCellAnchor>
    <xdr:from>
      <xdr:col>18</xdr:col>
      <xdr:colOff>590550</xdr:colOff>
      <xdr:row>5</xdr:row>
      <xdr:rowOff>180975</xdr:rowOff>
    </xdr:from>
    <xdr:to>
      <xdr:col>24</xdr:col>
      <xdr:colOff>76200</xdr:colOff>
      <xdr:row>11</xdr:row>
      <xdr:rowOff>133349</xdr:rowOff>
    </xdr:to>
    <xdr:sp macro="" textlink="">
      <xdr:nvSpPr>
        <xdr:cNvPr id="19" name="Rectangle 18">
          <a:extLst>
            <a:ext uri="{FF2B5EF4-FFF2-40B4-BE49-F238E27FC236}">
              <a16:creationId xmlns:a16="http://schemas.microsoft.com/office/drawing/2014/main" id="{DA72B8AE-9A85-4F69-AC12-24B515B8A5DB}"/>
            </a:ext>
          </a:extLst>
        </xdr:cNvPr>
        <xdr:cNvSpPr/>
      </xdr:nvSpPr>
      <xdr:spPr>
        <a:xfrm>
          <a:off x="11563350" y="1133475"/>
          <a:ext cx="3143250" cy="1095374"/>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457200</xdr:colOff>
      <xdr:row>6</xdr:row>
      <xdr:rowOff>57150</xdr:rowOff>
    </xdr:from>
    <xdr:to>
      <xdr:col>24</xdr:col>
      <xdr:colOff>352425</xdr:colOff>
      <xdr:row>8</xdr:row>
      <xdr:rowOff>47625</xdr:rowOff>
    </xdr:to>
    <xdr:sp macro="" textlink="">
      <xdr:nvSpPr>
        <xdr:cNvPr id="20" name="Rectangle 19">
          <a:extLst>
            <a:ext uri="{FF2B5EF4-FFF2-40B4-BE49-F238E27FC236}">
              <a16:creationId xmlns:a16="http://schemas.microsoft.com/office/drawing/2014/main" id="{1BE97D2D-08EE-4A9A-B5C4-A7395929A3F4}"/>
            </a:ext>
          </a:extLst>
        </xdr:cNvPr>
        <xdr:cNvSpPr/>
      </xdr:nvSpPr>
      <xdr:spPr>
        <a:xfrm>
          <a:off x="11430000" y="1200150"/>
          <a:ext cx="3552825" cy="3714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Cancellation</a:t>
          </a:r>
          <a:r>
            <a:rPr lang="en-IN" sz="2000" b="1"/>
            <a:t> Rate By Region</a:t>
          </a:r>
        </a:p>
      </xdr:txBody>
    </xdr:sp>
    <xdr:clientData/>
  </xdr:twoCellAnchor>
  <xdr:twoCellAnchor>
    <xdr:from>
      <xdr:col>19</xdr:col>
      <xdr:colOff>361949</xdr:colOff>
      <xdr:row>9</xdr:row>
      <xdr:rowOff>0</xdr:rowOff>
    </xdr:from>
    <xdr:to>
      <xdr:col>23</xdr:col>
      <xdr:colOff>342898</xdr:colOff>
      <xdr:row>11</xdr:row>
      <xdr:rowOff>38100</xdr:rowOff>
    </xdr:to>
    <xdr:sp macro="" textlink="Pivots!I4">
      <xdr:nvSpPr>
        <xdr:cNvPr id="21" name="Rectangle 20">
          <a:extLst>
            <a:ext uri="{FF2B5EF4-FFF2-40B4-BE49-F238E27FC236}">
              <a16:creationId xmlns:a16="http://schemas.microsoft.com/office/drawing/2014/main" id="{42A3DE98-FE4D-40B3-B9DD-CBC4333C213C}"/>
            </a:ext>
          </a:extLst>
        </xdr:cNvPr>
        <xdr:cNvSpPr/>
      </xdr:nvSpPr>
      <xdr:spPr>
        <a:xfrm>
          <a:off x="11944349" y="1714500"/>
          <a:ext cx="2419349"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E1D031B-3742-4BB0-A1EB-C9346A5A1518}" type="TxLink">
            <a:rPr lang="en-US" sz="2000" b="1" i="0" u="none" strike="noStrike">
              <a:solidFill>
                <a:schemeClr val="bg1"/>
              </a:solidFill>
              <a:latin typeface="Calibri"/>
              <a:ea typeface="Calibri"/>
              <a:cs typeface="Calibri"/>
            </a:rPr>
            <a:pPr algn="ctr"/>
            <a:t>34.78%</a:t>
          </a:fld>
          <a:endParaRPr lang="en-IN" sz="2000" b="1">
            <a:solidFill>
              <a:schemeClr val="bg1"/>
            </a:solidFill>
          </a:endParaRPr>
        </a:p>
      </xdr:txBody>
    </xdr:sp>
    <xdr:clientData/>
  </xdr:twoCellAnchor>
  <xdr:twoCellAnchor>
    <xdr:from>
      <xdr:col>23</xdr:col>
      <xdr:colOff>542926</xdr:colOff>
      <xdr:row>6</xdr:row>
      <xdr:rowOff>57150</xdr:rowOff>
    </xdr:from>
    <xdr:to>
      <xdr:col>29</xdr:col>
      <xdr:colOff>47626</xdr:colOff>
      <xdr:row>8</xdr:row>
      <xdr:rowOff>95250</xdr:rowOff>
    </xdr:to>
    <xdr:sp macro="" textlink="">
      <xdr:nvSpPr>
        <xdr:cNvPr id="22" name="Rectangle 21">
          <a:extLst>
            <a:ext uri="{FF2B5EF4-FFF2-40B4-BE49-F238E27FC236}">
              <a16:creationId xmlns:a16="http://schemas.microsoft.com/office/drawing/2014/main" id="{6D9AD7CC-BA9C-4115-A9B9-E4E958302FA5}"/>
            </a:ext>
          </a:extLst>
        </xdr:cNvPr>
        <xdr:cNvSpPr/>
      </xdr:nvSpPr>
      <xdr:spPr>
        <a:xfrm>
          <a:off x="14563726" y="1200150"/>
          <a:ext cx="3162300"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 of Fast Deliveries</a:t>
          </a:r>
        </a:p>
      </xdr:txBody>
    </xdr:sp>
    <xdr:clientData/>
  </xdr:twoCellAnchor>
  <xdr:twoCellAnchor>
    <xdr:from>
      <xdr:col>24</xdr:col>
      <xdr:colOff>352424</xdr:colOff>
      <xdr:row>8</xdr:row>
      <xdr:rowOff>180975</xdr:rowOff>
    </xdr:from>
    <xdr:to>
      <xdr:col>28</xdr:col>
      <xdr:colOff>333373</xdr:colOff>
      <xdr:row>11</xdr:row>
      <xdr:rowOff>28575</xdr:rowOff>
    </xdr:to>
    <xdr:sp macro="" textlink="Pivots!L4">
      <xdr:nvSpPr>
        <xdr:cNvPr id="23" name="Rectangle 22">
          <a:extLst>
            <a:ext uri="{FF2B5EF4-FFF2-40B4-BE49-F238E27FC236}">
              <a16:creationId xmlns:a16="http://schemas.microsoft.com/office/drawing/2014/main" id="{FF071D93-A79E-48BA-9E73-5780EB47AA3C}"/>
            </a:ext>
          </a:extLst>
        </xdr:cNvPr>
        <xdr:cNvSpPr/>
      </xdr:nvSpPr>
      <xdr:spPr>
        <a:xfrm>
          <a:off x="14982824" y="1704975"/>
          <a:ext cx="2419349"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E18EBD2-E89C-414C-9D09-F1AE9A2A89C1}" type="TxLink">
            <a:rPr lang="en-US" sz="2000" b="1" i="0" u="none" strike="noStrike">
              <a:solidFill>
                <a:schemeClr val="bg1"/>
              </a:solidFill>
              <a:latin typeface="Calibri"/>
              <a:ea typeface="Calibri"/>
              <a:cs typeface="Calibri"/>
            </a:rPr>
            <a:pPr algn="ctr"/>
            <a:t>14%</a:t>
          </a:fld>
          <a:endParaRPr lang="en-IN" sz="2000" b="1">
            <a:solidFill>
              <a:schemeClr val="bg1"/>
            </a:solidFill>
          </a:endParaRPr>
        </a:p>
      </xdr:txBody>
    </xdr:sp>
    <xdr:clientData/>
  </xdr:twoCellAnchor>
  <xdr:twoCellAnchor>
    <xdr:from>
      <xdr:col>24</xdr:col>
      <xdr:colOff>95250</xdr:colOff>
      <xdr:row>11</xdr:row>
      <xdr:rowOff>171450</xdr:rowOff>
    </xdr:from>
    <xdr:to>
      <xdr:col>29</xdr:col>
      <xdr:colOff>247649</xdr:colOff>
      <xdr:row>17</xdr:row>
      <xdr:rowOff>123824</xdr:rowOff>
    </xdr:to>
    <xdr:sp macro="" textlink="">
      <xdr:nvSpPr>
        <xdr:cNvPr id="25" name="Rectangle 24">
          <a:extLst>
            <a:ext uri="{FF2B5EF4-FFF2-40B4-BE49-F238E27FC236}">
              <a16:creationId xmlns:a16="http://schemas.microsoft.com/office/drawing/2014/main" id="{293E8358-737D-4AF3-A4DC-4D5CB49AFC8A}"/>
            </a:ext>
          </a:extLst>
        </xdr:cNvPr>
        <xdr:cNvSpPr/>
      </xdr:nvSpPr>
      <xdr:spPr>
        <a:xfrm>
          <a:off x="14725650" y="2266950"/>
          <a:ext cx="3200399" cy="1095374"/>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590550</xdr:colOff>
      <xdr:row>11</xdr:row>
      <xdr:rowOff>171450</xdr:rowOff>
    </xdr:from>
    <xdr:to>
      <xdr:col>24</xdr:col>
      <xdr:colOff>76200</xdr:colOff>
      <xdr:row>17</xdr:row>
      <xdr:rowOff>123824</xdr:rowOff>
    </xdr:to>
    <xdr:sp macro="" textlink="">
      <xdr:nvSpPr>
        <xdr:cNvPr id="26" name="Rectangle 25">
          <a:extLst>
            <a:ext uri="{FF2B5EF4-FFF2-40B4-BE49-F238E27FC236}">
              <a16:creationId xmlns:a16="http://schemas.microsoft.com/office/drawing/2014/main" id="{2C7AB904-5AD0-43AD-9CF4-4A25CF271CDC}"/>
            </a:ext>
          </a:extLst>
        </xdr:cNvPr>
        <xdr:cNvSpPr/>
      </xdr:nvSpPr>
      <xdr:spPr>
        <a:xfrm>
          <a:off x="11563350" y="2266950"/>
          <a:ext cx="3143250" cy="1095374"/>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352424</xdr:colOff>
      <xdr:row>12</xdr:row>
      <xdr:rowOff>47625</xdr:rowOff>
    </xdr:from>
    <xdr:to>
      <xdr:col>23</xdr:col>
      <xdr:colOff>476250</xdr:colOff>
      <xdr:row>14</xdr:row>
      <xdr:rowOff>85725</xdr:rowOff>
    </xdr:to>
    <xdr:sp macro="" textlink="">
      <xdr:nvSpPr>
        <xdr:cNvPr id="27" name="Rectangle 26">
          <a:extLst>
            <a:ext uri="{FF2B5EF4-FFF2-40B4-BE49-F238E27FC236}">
              <a16:creationId xmlns:a16="http://schemas.microsoft.com/office/drawing/2014/main" id="{9BAA0E76-299A-41D1-A27D-74405958DA56}"/>
            </a:ext>
          </a:extLst>
        </xdr:cNvPr>
        <xdr:cNvSpPr/>
      </xdr:nvSpPr>
      <xdr:spPr>
        <a:xfrm>
          <a:off x="11934824" y="2333625"/>
          <a:ext cx="2562226"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Avg. Delivery Days</a:t>
          </a:r>
        </a:p>
      </xdr:txBody>
    </xdr:sp>
    <xdr:clientData/>
  </xdr:twoCellAnchor>
  <xdr:twoCellAnchor>
    <xdr:from>
      <xdr:col>19</xdr:col>
      <xdr:colOff>361949</xdr:colOff>
      <xdr:row>14</xdr:row>
      <xdr:rowOff>180975</xdr:rowOff>
    </xdr:from>
    <xdr:to>
      <xdr:col>23</xdr:col>
      <xdr:colOff>342898</xdr:colOff>
      <xdr:row>17</xdr:row>
      <xdr:rowOff>28575</xdr:rowOff>
    </xdr:to>
    <xdr:sp macro="" textlink="Pivots!$E$4">
      <xdr:nvSpPr>
        <xdr:cNvPr id="28" name="Rectangle 27">
          <a:extLst>
            <a:ext uri="{FF2B5EF4-FFF2-40B4-BE49-F238E27FC236}">
              <a16:creationId xmlns:a16="http://schemas.microsoft.com/office/drawing/2014/main" id="{DBF91679-F8BC-4C68-84FB-0D619C563BD5}"/>
            </a:ext>
          </a:extLst>
        </xdr:cNvPr>
        <xdr:cNvSpPr/>
      </xdr:nvSpPr>
      <xdr:spPr>
        <a:xfrm>
          <a:off x="11944349" y="2847975"/>
          <a:ext cx="2419349"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41BEFB2-1EE7-4B96-9DD7-18FB8242346C}" type="TxLink">
            <a:rPr lang="en-US" sz="2000" b="1" i="0" u="none" strike="noStrike">
              <a:solidFill>
                <a:schemeClr val="bg1"/>
              </a:solidFill>
              <a:latin typeface="Calibri"/>
              <a:ea typeface="Calibri"/>
              <a:cs typeface="Calibri"/>
            </a:rPr>
            <a:pPr algn="ctr"/>
            <a:t>3.8</a:t>
          </a:fld>
          <a:endParaRPr lang="en-IN" sz="2000" b="1">
            <a:solidFill>
              <a:schemeClr val="bg1"/>
            </a:solidFill>
          </a:endParaRPr>
        </a:p>
      </xdr:txBody>
    </xdr:sp>
    <xdr:clientData/>
  </xdr:twoCellAnchor>
  <xdr:twoCellAnchor>
    <xdr:from>
      <xdr:col>23</xdr:col>
      <xdr:colOff>142876</xdr:colOff>
      <xdr:row>12</xdr:row>
      <xdr:rowOff>38100</xdr:rowOff>
    </xdr:from>
    <xdr:to>
      <xdr:col>29</xdr:col>
      <xdr:colOff>314326</xdr:colOff>
      <xdr:row>14</xdr:row>
      <xdr:rowOff>76200</xdr:rowOff>
    </xdr:to>
    <xdr:sp macro="" textlink="">
      <xdr:nvSpPr>
        <xdr:cNvPr id="29" name="Rectangle 28">
          <a:extLst>
            <a:ext uri="{FF2B5EF4-FFF2-40B4-BE49-F238E27FC236}">
              <a16:creationId xmlns:a16="http://schemas.microsoft.com/office/drawing/2014/main" id="{E9B38D26-A0F7-4825-BF0F-C1B9A936667E}"/>
            </a:ext>
          </a:extLst>
        </xdr:cNvPr>
        <xdr:cNvSpPr/>
      </xdr:nvSpPr>
      <xdr:spPr>
        <a:xfrm>
          <a:off x="14163676" y="2324100"/>
          <a:ext cx="3829050"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Higest Sale Product</a:t>
          </a:r>
        </a:p>
      </xdr:txBody>
    </xdr:sp>
    <xdr:clientData/>
  </xdr:twoCellAnchor>
  <xdr:twoCellAnchor>
    <xdr:from>
      <xdr:col>24</xdr:col>
      <xdr:colOff>485774</xdr:colOff>
      <xdr:row>14</xdr:row>
      <xdr:rowOff>180975</xdr:rowOff>
    </xdr:from>
    <xdr:to>
      <xdr:col>28</xdr:col>
      <xdr:colOff>466723</xdr:colOff>
      <xdr:row>17</xdr:row>
      <xdr:rowOff>28575</xdr:rowOff>
    </xdr:to>
    <xdr:sp macro="" textlink="Pivots!O4">
      <xdr:nvSpPr>
        <xdr:cNvPr id="30" name="Rectangle 29">
          <a:extLst>
            <a:ext uri="{FF2B5EF4-FFF2-40B4-BE49-F238E27FC236}">
              <a16:creationId xmlns:a16="http://schemas.microsoft.com/office/drawing/2014/main" id="{DCA0434A-A799-4181-97F2-EC6A489ACF3E}"/>
            </a:ext>
          </a:extLst>
        </xdr:cNvPr>
        <xdr:cNvSpPr/>
      </xdr:nvSpPr>
      <xdr:spPr>
        <a:xfrm>
          <a:off x="15116174" y="2847975"/>
          <a:ext cx="2419349"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3FE7B99-5ADE-4ECE-ABE0-7FDD57D089AA}" type="TxLink">
            <a:rPr lang="en-US" sz="2000" b="1" i="0" u="none" strike="noStrike">
              <a:solidFill>
                <a:schemeClr val="bg1"/>
              </a:solidFill>
              <a:latin typeface="Calibri"/>
              <a:ea typeface="Calibri"/>
              <a:cs typeface="Calibri"/>
            </a:rPr>
            <a:pPr algn="ctr"/>
            <a:t>Smartphone</a:t>
          </a:fld>
          <a:endParaRPr lang="en-IN" sz="2000" b="1">
            <a:solidFill>
              <a:schemeClr val="bg1"/>
            </a:solidFill>
          </a:endParaRPr>
        </a:p>
      </xdr:txBody>
    </xdr:sp>
    <xdr:clientData/>
  </xdr:twoCellAnchor>
  <xdr:twoCellAnchor>
    <xdr:from>
      <xdr:col>19</xdr:col>
      <xdr:colOff>485774</xdr:colOff>
      <xdr:row>2</xdr:row>
      <xdr:rowOff>152400</xdr:rowOff>
    </xdr:from>
    <xdr:to>
      <xdr:col>23</xdr:col>
      <xdr:colOff>190499</xdr:colOff>
      <xdr:row>4</xdr:row>
      <xdr:rowOff>180975</xdr:rowOff>
    </xdr:to>
    <xdr:sp macro="" textlink="Pivots!$A$4">
      <xdr:nvSpPr>
        <xdr:cNvPr id="43" name="Rectangle 42">
          <a:extLst>
            <a:ext uri="{FF2B5EF4-FFF2-40B4-BE49-F238E27FC236}">
              <a16:creationId xmlns:a16="http://schemas.microsoft.com/office/drawing/2014/main" id="{487C14C5-449F-D256-ED33-AE5C96B65DE8}"/>
            </a:ext>
          </a:extLst>
        </xdr:cNvPr>
        <xdr:cNvSpPr/>
      </xdr:nvSpPr>
      <xdr:spPr>
        <a:xfrm>
          <a:off x="12068174" y="533400"/>
          <a:ext cx="2143125" cy="4095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3577389-EF11-4F0F-897C-F92FDC83B11C}" type="TxLink">
            <a:rPr lang="en-US" sz="2000" b="1" i="0" u="none" strike="noStrike">
              <a:solidFill>
                <a:schemeClr val="bg1"/>
              </a:solidFill>
              <a:latin typeface="Calibri"/>
              <a:ea typeface="Calibri"/>
              <a:cs typeface="Calibri"/>
            </a:rPr>
            <a:pPr algn="ctr"/>
            <a:t>35258</a:t>
          </a:fld>
          <a:endParaRPr lang="en-IN" sz="1100" b="1">
            <a:solidFill>
              <a:schemeClr val="bg1"/>
            </a:solidFill>
          </a:endParaRPr>
        </a:p>
      </xdr:txBody>
    </xdr:sp>
    <xdr:clientData/>
  </xdr:twoCellAnchor>
  <xdr:twoCellAnchor>
    <xdr:from>
      <xdr:col>19</xdr:col>
      <xdr:colOff>0</xdr:colOff>
      <xdr:row>17</xdr:row>
      <xdr:rowOff>152400</xdr:rowOff>
    </xdr:from>
    <xdr:to>
      <xdr:col>29</xdr:col>
      <xdr:colOff>268941</xdr:colOff>
      <xdr:row>26</xdr:row>
      <xdr:rowOff>89647</xdr:rowOff>
    </xdr:to>
    <xdr:graphicFrame macro="">
      <xdr:nvGraphicFramePr>
        <xdr:cNvPr id="44" name="Chart 43">
          <a:extLst>
            <a:ext uri="{FF2B5EF4-FFF2-40B4-BE49-F238E27FC236}">
              <a16:creationId xmlns:a16="http://schemas.microsoft.com/office/drawing/2014/main" id="{0369D9EA-D51D-4A8A-8909-572F44E92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47626</xdr:colOff>
      <xdr:row>26</xdr:row>
      <xdr:rowOff>57150</xdr:rowOff>
    </xdr:from>
    <xdr:to>
      <xdr:col>29</xdr:col>
      <xdr:colOff>228600</xdr:colOff>
      <xdr:row>36</xdr:row>
      <xdr:rowOff>19050</xdr:rowOff>
    </xdr:to>
    <xdr:graphicFrame macro="">
      <xdr:nvGraphicFramePr>
        <xdr:cNvPr id="45" name="Chart 44">
          <a:extLst>
            <a:ext uri="{FF2B5EF4-FFF2-40B4-BE49-F238E27FC236}">
              <a16:creationId xmlns:a16="http://schemas.microsoft.com/office/drawing/2014/main" id="{FD7AD4C6-59A6-4678-8680-BE37D5160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609599</xdr:colOff>
      <xdr:row>26</xdr:row>
      <xdr:rowOff>76199</xdr:rowOff>
    </xdr:from>
    <xdr:to>
      <xdr:col>24</xdr:col>
      <xdr:colOff>104774</xdr:colOff>
      <xdr:row>36</xdr:row>
      <xdr:rowOff>9524</xdr:rowOff>
    </xdr:to>
    <xdr:graphicFrame macro="">
      <xdr:nvGraphicFramePr>
        <xdr:cNvPr id="46" name="Chart 45">
          <a:extLst>
            <a:ext uri="{FF2B5EF4-FFF2-40B4-BE49-F238E27FC236}">
              <a16:creationId xmlns:a16="http://schemas.microsoft.com/office/drawing/2014/main" id="{B3BFBCDE-4233-412A-8788-FE869DDD4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refreshedDate="46062.405349074077" createdVersion="8" refreshedVersion="8" minRefreshableVersion="3" recordCount="100" xr:uid="{645B4A7F-B242-459A-A66E-3916C9078080}">
  <cacheSource type="worksheet">
    <worksheetSource name="Table5"/>
  </cacheSource>
  <cacheFields count="23">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2"/>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Customer ID" numFmtId="0">
      <sharedItems/>
    </cacheField>
    <cacheField name="Customer Name" numFmtId="0">
      <sharedItems/>
    </cacheField>
    <cacheField name="Customer Type" numFmtId="0">
      <sharedItems count="4">
        <s v="Individual"/>
        <s v="Business"/>
        <s v="Prime"/>
        <s v="NA"/>
      </sharedItems>
    </cacheField>
    <cacheField name="Product ID" numFmtId="0">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Category" numFmtId="0">
      <sharedItems count="5">
        <s v="Home"/>
        <s v="Toys"/>
        <s v="Fashion"/>
        <s v="Electronics"/>
        <s v="Books"/>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1">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ount="5">
        <s v="DHL"/>
        <s v="USPS"/>
        <s v="UPS"/>
        <s v="Amazon Logistics"/>
        <s v="FedEx"/>
      </sharedItems>
    </cacheField>
    <cacheField name="Order Flag" numFmtId="0">
      <sharedItems/>
    </cacheField>
    <cacheField name="Delivery Performance" numFmtId="0">
      <sharedItems count="3">
        <s v="Not Delivered"/>
        <s v="Fast"/>
        <s v="Slow"/>
      </sharedItems>
    </cacheField>
    <cacheField name="Delivery Days" numFmtId="1">
      <sharedItems containsMixedTypes="1" containsNumber="1" containsInteger="1" minValue="1" maxValue="7"/>
    </cacheField>
    <cacheField name="Target Sales" numFmtId="0">
      <sharedItems containsSemiMixedTypes="0" containsString="0" containsNumber="1" containsInteger="1" minValue="50500" maxValue="105000"/>
    </cacheField>
    <cacheField name="Days (Order Date)" numFmtId="0" databaseField="0">
      <fieldGroup base="1">
        <rangePr groupBy="days" startDate="2023-01-07T00:00:00" endDate="2024-01-01T00:00:00"/>
        <groupItems count="368">
          <s v="&lt;07-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Order Date)" numFmtId="0" databaseField="0">
      <fieldGroup base="1">
        <rangePr groupBy="months" startDate="2023-01-07T00:00:00" endDate="2024-01-01T00:00:00"/>
        <groupItems count="14">
          <s v="&lt;07-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20545571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m/>
    <d v="2024-01-02T00:00:00"/>
    <s v="CUST021"/>
    <s v="Zoe Mitchell"/>
    <x v="0"/>
    <s v="PROD012"/>
    <x v="0"/>
    <x v="0"/>
    <x v="0"/>
    <n v="44"/>
    <n v="1"/>
    <n v="44"/>
    <x v="0"/>
    <x v="0"/>
    <x v="0"/>
    <s v="Cancelled"/>
    <x v="0"/>
    <s v=""/>
    <n v="105000"/>
  </r>
  <r>
    <x v="1"/>
    <x v="1"/>
    <d v="2023-02-24T00:00:00"/>
    <m/>
    <s v="CUST029"/>
    <s v="Ava White"/>
    <x v="0"/>
    <s v="PROD018"/>
    <x v="1"/>
    <x v="1"/>
    <x v="1"/>
    <n v="96"/>
    <n v="4"/>
    <n v="384"/>
    <x v="1"/>
    <x v="1"/>
    <x v="0"/>
    <s v="Active"/>
    <x v="1"/>
    <n v="2"/>
    <n v="50500"/>
  </r>
  <r>
    <x v="2"/>
    <x v="2"/>
    <m/>
    <m/>
    <s v="CUST021"/>
    <s v="Zoe Mitchell"/>
    <x v="0"/>
    <s v="PROD013"/>
    <x v="2"/>
    <x v="0"/>
    <x v="2"/>
    <n v="194"/>
    <n v="4"/>
    <n v="776"/>
    <x v="1"/>
    <x v="2"/>
    <x v="1"/>
    <s v="Active"/>
    <x v="0"/>
    <s v=""/>
    <n v="91500"/>
  </r>
  <r>
    <x v="3"/>
    <x v="3"/>
    <m/>
    <d v="2023-05-11T00:00:00"/>
    <s v="CUST044"/>
    <s v="Grace Ward"/>
    <x v="1"/>
    <s v="PROD013"/>
    <x v="2"/>
    <x v="0"/>
    <x v="0"/>
    <n v="196"/>
    <n v="3"/>
    <n v="588"/>
    <x v="2"/>
    <x v="0"/>
    <x v="2"/>
    <s v="Cancelled"/>
    <x v="0"/>
    <s v=""/>
    <n v="105000"/>
  </r>
  <r>
    <x v="4"/>
    <x v="4"/>
    <d v="2023-02-05T00:00:00"/>
    <m/>
    <s v="CUST027"/>
    <s v="Hazel Brooks"/>
    <x v="0"/>
    <s v="PROD010"/>
    <x v="3"/>
    <x v="2"/>
    <x v="0"/>
    <n v="59"/>
    <n v="1"/>
    <n v="59"/>
    <x v="2"/>
    <x v="1"/>
    <x v="3"/>
    <s v="Active"/>
    <x v="2"/>
    <n v="3"/>
    <n v="105000"/>
  </r>
  <r>
    <x v="5"/>
    <x v="5"/>
    <m/>
    <d v="2023-11-02T00:00:00"/>
    <s v="CUST009"/>
    <s v="Jackson Allen"/>
    <x v="1"/>
    <s v="PROD010"/>
    <x v="3"/>
    <x v="2"/>
    <x v="0"/>
    <n v="58"/>
    <n v="4"/>
    <n v="232"/>
    <x v="3"/>
    <x v="0"/>
    <x v="0"/>
    <s v="Cancelled"/>
    <x v="0"/>
    <s v=""/>
    <n v="105000"/>
  </r>
  <r>
    <x v="6"/>
    <x v="6"/>
    <m/>
    <d v="2023-08-18T00:00:00"/>
    <s v="CUST042"/>
    <s v="Noah Wilson"/>
    <x v="2"/>
    <s v="PROD020"/>
    <x v="4"/>
    <x v="3"/>
    <x v="3"/>
    <n v="105"/>
    <n v="3"/>
    <n v="315"/>
    <x v="4"/>
    <x v="0"/>
    <x v="0"/>
    <s v="Cancelled"/>
    <x v="0"/>
    <s v=""/>
    <n v="97500"/>
  </r>
  <r>
    <x v="7"/>
    <x v="7"/>
    <m/>
    <d v="2023-04-06T00:00:00"/>
    <s v="CUST019"/>
    <s v="Ava Robinson"/>
    <x v="2"/>
    <s v="PROD021"/>
    <x v="5"/>
    <x v="0"/>
    <x v="4"/>
    <n v="37"/>
    <n v="5"/>
    <n v="185"/>
    <x v="2"/>
    <x v="0"/>
    <x v="0"/>
    <s v="Cancelled"/>
    <x v="0"/>
    <s v=""/>
    <n v="90750"/>
  </r>
  <r>
    <x v="8"/>
    <x v="8"/>
    <m/>
    <m/>
    <s v="CUST013"/>
    <s v="Olivia Martinez"/>
    <x v="2"/>
    <s v="PROD019"/>
    <x v="6"/>
    <x v="2"/>
    <x v="3"/>
    <n v="44"/>
    <n v="2"/>
    <n v="88"/>
    <x v="1"/>
    <x v="2"/>
    <x v="3"/>
    <s v="Active"/>
    <x v="0"/>
    <s v=""/>
    <n v="97500"/>
  </r>
  <r>
    <x v="9"/>
    <x v="9"/>
    <m/>
    <m/>
    <s v="CUST019"/>
    <s v="Ava Robinson"/>
    <x v="2"/>
    <s v="PROD003"/>
    <x v="7"/>
    <x v="0"/>
    <x v="2"/>
    <n v="141"/>
    <n v="4"/>
    <n v="564"/>
    <x v="4"/>
    <x v="2"/>
    <x v="0"/>
    <s v="Active"/>
    <x v="0"/>
    <s v=""/>
    <n v="91500"/>
  </r>
  <r>
    <x v="10"/>
    <x v="10"/>
    <m/>
    <d v="2023-05-08T00:00:00"/>
    <s v="CUST046"/>
    <s v="Emily Johnson"/>
    <x v="2"/>
    <s v="PROD014"/>
    <x v="8"/>
    <x v="3"/>
    <x v="2"/>
    <n v="249"/>
    <n v="1"/>
    <n v="249"/>
    <x v="3"/>
    <x v="0"/>
    <x v="1"/>
    <s v="Cancelled"/>
    <x v="0"/>
    <s v=""/>
    <n v="91500"/>
  </r>
  <r>
    <x v="11"/>
    <x v="11"/>
    <m/>
    <m/>
    <s v="CUST045"/>
    <s v="Emily Johnson"/>
    <x v="0"/>
    <s v="PROD014"/>
    <x v="8"/>
    <x v="3"/>
    <x v="3"/>
    <n v="247"/>
    <n v="3"/>
    <n v="741"/>
    <x v="3"/>
    <x v="2"/>
    <x v="4"/>
    <s v="Active"/>
    <x v="0"/>
    <s v=""/>
    <n v="97500"/>
  </r>
  <r>
    <x v="12"/>
    <x v="12"/>
    <m/>
    <d v="2023-02-28T00:00:00"/>
    <s v="CUST023"/>
    <s v="Charlotte Reed"/>
    <x v="0"/>
    <s v="PROD006"/>
    <x v="9"/>
    <x v="2"/>
    <x v="3"/>
    <n v="96"/>
    <n v="1"/>
    <n v="96"/>
    <x v="0"/>
    <x v="0"/>
    <x v="3"/>
    <s v="Cancelled"/>
    <x v="0"/>
    <s v=""/>
    <n v="97500"/>
  </r>
  <r>
    <x v="13"/>
    <x v="13"/>
    <m/>
    <d v="2023-02-25T00:00:00"/>
    <s v="CUST033"/>
    <s v="Hazel Rivera"/>
    <x v="1"/>
    <s v="PROD017"/>
    <x v="10"/>
    <x v="3"/>
    <x v="4"/>
    <n v="74"/>
    <n v="5"/>
    <n v="370"/>
    <x v="0"/>
    <x v="0"/>
    <x v="3"/>
    <s v="Cancelled"/>
    <x v="0"/>
    <s v=""/>
    <n v="90750"/>
  </r>
  <r>
    <x v="14"/>
    <x v="14"/>
    <m/>
    <d v="2023-09-02T00:00:00"/>
    <s v="CUST033"/>
    <s v="Hazel Rivera"/>
    <x v="1"/>
    <s v="PROD005"/>
    <x v="11"/>
    <x v="2"/>
    <x v="2"/>
    <n v="27"/>
    <n v="1"/>
    <n v="27"/>
    <x v="1"/>
    <x v="0"/>
    <x v="3"/>
    <s v="Cancelled"/>
    <x v="0"/>
    <s v=""/>
    <n v="91500"/>
  </r>
  <r>
    <x v="15"/>
    <x v="15"/>
    <m/>
    <m/>
    <s v="CUST047"/>
    <s v="Scarlett Murphy"/>
    <x v="0"/>
    <s v="PROD005"/>
    <x v="11"/>
    <x v="2"/>
    <x v="2"/>
    <n v="27"/>
    <n v="3"/>
    <n v="81"/>
    <x v="4"/>
    <x v="2"/>
    <x v="3"/>
    <s v="Active"/>
    <x v="0"/>
    <s v=""/>
    <n v="91500"/>
  </r>
  <r>
    <x v="16"/>
    <x v="16"/>
    <d v="2023-07-01T00:00:00"/>
    <m/>
    <s v="CUST045"/>
    <s v="Emily Johnson"/>
    <x v="0"/>
    <s v="PROD015"/>
    <x v="12"/>
    <x v="4"/>
    <x v="1"/>
    <n v="21"/>
    <n v="3"/>
    <n v="63"/>
    <x v="1"/>
    <x v="1"/>
    <x v="0"/>
    <s v="Active"/>
    <x v="2"/>
    <n v="3"/>
    <n v="50500"/>
  </r>
  <r>
    <x v="17"/>
    <x v="17"/>
    <m/>
    <m/>
    <s v="CUST011"/>
    <s v="Mason Hall"/>
    <x v="1"/>
    <s v="PROD008"/>
    <x v="13"/>
    <x v="4"/>
    <x v="4"/>
    <n v="70"/>
    <n v="5"/>
    <n v="350"/>
    <x v="2"/>
    <x v="2"/>
    <x v="3"/>
    <s v="Active"/>
    <x v="0"/>
    <s v=""/>
    <n v="90750"/>
  </r>
  <r>
    <x v="18"/>
    <x v="18"/>
    <m/>
    <m/>
    <s v="CUST041"/>
    <s v="Jacob Price"/>
    <x v="1"/>
    <s v="PROD006"/>
    <x v="9"/>
    <x v="2"/>
    <x v="2"/>
    <n v="94"/>
    <n v="4"/>
    <n v="376"/>
    <x v="1"/>
    <x v="2"/>
    <x v="1"/>
    <s v="Active"/>
    <x v="0"/>
    <s v=""/>
    <n v="91500"/>
  </r>
  <r>
    <x v="19"/>
    <x v="19"/>
    <m/>
    <m/>
    <s v="CUST025"/>
    <s v="Emma King"/>
    <x v="0"/>
    <s v="PROD001"/>
    <x v="14"/>
    <x v="3"/>
    <x v="0"/>
    <n v="813"/>
    <n v="2"/>
    <n v="1626"/>
    <x v="1"/>
    <x v="2"/>
    <x v="4"/>
    <s v="Active"/>
    <x v="0"/>
    <s v=""/>
    <n v="105000"/>
  </r>
  <r>
    <x v="20"/>
    <x v="20"/>
    <m/>
    <m/>
    <s v="CUST013"/>
    <s v="Olivia Martinez"/>
    <x v="2"/>
    <s v="PROD015"/>
    <x v="12"/>
    <x v="4"/>
    <x v="3"/>
    <n v="21"/>
    <n v="4"/>
    <n v="84"/>
    <x v="2"/>
    <x v="2"/>
    <x v="3"/>
    <s v="Active"/>
    <x v="0"/>
    <s v=""/>
    <n v="97500"/>
  </r>
  <r>
    <x v="21"/>
    <x v="21"/>
    <m/>
    <m/>
    <s v="CUST023"/>
    <s v="Charlotte Reed"/>
    <x v="0"/>
    <s v="PROD012"/>
    <x v="0"/>
    <x v="0"/>
    <x v="4"/>
    <n v="46"/>
    <n v="5"/>
    <n v="230"/>
    <x v="2"/>
    <x v="2"/>
    <x v="1"/>
    <s v="Active"/>
    <x v="0"/>
    <s v=""/>
    <n v="90750"/>
  </r>
  <r>
    <x v="22"/>
    <x v="15"/>
    <m/>
    <d v="2023-02-14T00:00:00"/>
    <s v="CUST016"/>
    <s v="Elijah Lewis"/>
    <x v="2"/>
    <s v="PROD010"/>
    <x v="3"/>
    <x v="2"/>
    <x v="4"/>
    <n v="58"/>
    <n v="3"/>
    <n v="174"/>
    <x v="3"/>
    <x v="0"/>
    <x v="3"/>
    <s v="Cancelled"/>
    <x v="0"/>
    <s v=""/>
    <n v="90750"/>
  </r>
  <r>
    <x v="23"/>
    <x v="22"/>
    <d v="2023-11-05T00:00:00"/>
    <m/>
    <s v="CUST028"/>
    <s v="Lily Bennett"/>
    <x v="1"/>
    <s v="PROD006"/>
    <x v="9"/>
    <x v="2"/>
    <x v="4"/>
    <n v="96"/>
    <n v="5"/>
    <n v="480"/>
    <x v="3"/>
    <x v="1"/>
    <x v="3"/>
    <s v="Active"/>
    <x v="2"/>
    <n v="3"/>
    <n v="90750"/>
  </r>
  <r>
    <x v="24"/>
    <x v="23"/>
    <d v="2023-05-30T00:00:00"/>
    <m/>
    <s v="CUST040"/>
    <s v="Benjamin Clark"/>
    <x v="2"/>
    <s v="PROD002"/>
    <x v="15"/>
    <x v="1"/>
    <x v="2"/>
    <n v="43"/>
    <n v="1"/>
    <n v="43"/>
    <x v="4"/>
    <x v="1"/>
    <x v="3"/>
    <s v="Active"/>
    <x v="1"/>
    <n v="2"/>
    <n v="91500"/>
  </r>
  <r>
    <x v="25"/>
    <x v="24"/>
    <d v="2023-10-21T00:00:00"/>
    <m/>
    <s v="CUST027"/>
    <s v="Hazel Brooks"/>
    <x v="0"/>
    <s v="PROD022"/>
    <x v="16"/>
    <x v="2"/>
    <x v="2"/>
    <n v="64"/>
    <n v="4"/>
    <n v="256"/>
    <x v="4"/>
    <x v="1"/>
    <x v="1"/>
    <s v="Active"/>
    <x v="2"/>
    <n v="6"/>
    <n v="91500"/>
  </r>
  <r>
    <x v="26"/>
    <x v="25"/>
    <m/>
    <m/>
    <s v="CUST018"/>
    <s v="Grace Scott"/>
    <x v="0"/>
    <s v="PROD008"/>
    <x v="13"/>
    <x v="4"/>
    <x v="2"/>
    <n v="70"/>
    <n v="2"/>
    <n v="140"/>
    <x v="3"/>
    <x v="2"/>
    <x v="3"/>
    <s v="Active"/>
    <x v="0"/>
    <s v=""/>
    <n v="91500"/>
  </r>
  <r>
    <x v="27"/>
    <x v="26"/>
    <m/>
    <m/>
    <s v="CUST018"/>
    <s v="Grace Scott"/>
    <x v="0"/>
    <s v="PROD018"/>
    <x v="1"/>
    <x v="1"/>
    <x v="3"/>
    <n v="97"/>
    <n v="3"/>
    <n v="291"/>
    <x v="1"/>
    <x v="2"/>
    <x v="3"/>
    <s v="Active"/>
    <x v="0"/>
    <s v=""/>
    <n v="97500"/>
  </r>
  <r>
    <x v="28"/>
    <x v="27"/>
    <m/>
    <d v="2023-10-10T00:00:00"/>
    <s v="CUST007"/>
    <s v="Liam Walker"/>
    <x v="2"/>
    <s v="PROD021"/>
    <x v="5"/>
    <x v="0"/>
    <x v="1"/>
    <n v="37"/>
    <n v="3"/>
    <n v="111"/>
    <x v="0"/>
    <x v="0"/>
    <x v="0"/>
    <s v="Cancelled"/>
    <x v="0"/>
    <s v=""/>
    <n v="50500"/>
  </r>
  <r>
    <x v="29"/>
    <x v="28"/>
    <m/>
    <m/>
    <s v="CUST008"/>
    <s v="Harper Young"/>
    <x v="1"/>
    <s v="PROD008"/>
    <x v="13"/>
    <x v="4"/>
    <x v="0"/>
    <n v="69"/>
    <n v="5"/>
    <n v="345"/>
    <x v="3"/>
    <x v="2"/>
    <x v="3"/>
    <s v="Active"/>
    <x v="0"/>
    <s v=""/>
    <n v="105000"/>
  </r>
  <r>
    <x v="30"/>
    <x v="29"/>
    <m/>
    <m/>
    <s v="CUST014"/>
    <s v="Harper Young"/>
    <x v="0"/>
    <s v="PROD002"/>
    <x v="15"/>
    <x v="1"/>
    <x v="0"/>
    <n v="42"/>
    <n v="5"/>
    <n v="210"/>
    <x v="3"/>
    <x v="2"/>
    <x v="2"/>
    <s v="Active"/>
    <x v="0"/>
    <s v=""/>
    <n v="105000"/>
  </r>
  <r>
    <x v="31"/>
    <x v="30"/>
    <m/>
    <d v="2023-06-22T00:00:00"/>
    <s v="CUST037"/>
    <s v="Emily Johnson"/>
    <x v="0"/>
    <s v="PROD009"/>
    <x v="17"/>
    <x v="4"/>
    <x v="1"/>
    <n v="11"/>
    <n v="5"/>
    <n v="55"/>
    <x v="4"/>
    <x v="0"/>
    <x v="4"/>
    <s v="Cancelled"/>
    <x v="0"/>
    <s v=""/>
    <n v="50500"/>
  </r>
  <r>
    <x v="32"/>
    <x v="31"/>
    <d v="2023-05-23T00:00:00"/>
    <m/>
    <s v="CUST016"/>
    <s v="Elijah Lewis"/>
    <x v="2"/>
    <s v="PROD005"/>
    <x v="11"/>
    <x v="2"/>
    <x v="2"/>
    <n v="27"/>
    <n v="2"/>
    <n v="54"/>
    <x v="0"/>
    <x v="1"/>
    <x v="1"/>
    <s v="Active"/>
    <x v="1"/>
    <n v="1"/>
    <n v="91500"/>
  </r>
  <r>
    <x v="33"/>
    <x v="32"/>
    <m/>
    <m/>
    <s v="CUST025"/>
    <s v="Emma King"/>
    <x v="0"/>
    <s v="PROD015"/>
    <x v="12"/>
    <x v="4"/>
    <x v="2"/>
    <n v="21"/>
    <n v="1"/>
    <n v="21"/>
    <x v="3"/>
    <x v="2"/>
    <x v="0"/>
    <s v="Active"/>
    <x v="0"/>
    <s v=""/>
    <n v="91500"/>
  </r>
  <r>
    <x v="34"/>
    <x v="33"/>
    <d v="2023-12-26T00:00:00"/>
    <m/>
    <s v="CUST032"/>
    <s v="Luke Gray"/>
    <x v="1"/>
    <s v="PROD011"/>
    <x v="18"/>
    <x v="3"/>
    <x v="2"/>
    <n v="172"/>
    <n v="1"/>
    <n v="172"/>
    <x v="2"/>
    <x v="1"/>
    <x v="1"/>
    <s v="Active"/>
    <x v="2"/>
    <n v="4"/>
    <n v="91500"/>
  </r>
  <r>
    <x v="35"/>
    <x v="34"/>
    <m/>
    <m/>
    <s v="CUST014"/>
    <s v="Harper Young"/>
    <x v="0"/>
    <s v="PROD016"/>
    <x v="19"/>
    <x v="0"/>
    <x v="0"/>
    <n v="212"/>
    <n v="3"/>
    <n v="636"/>
    <x v="3"/>
    <x v="2"/>
    <x v="2"/>
    <s v="Active"/>
    <x v="0"/>
    <s v=""/>
    <n v="105000"/>
  </r>
  <r>
    <x v="36"/>
    <x v="35"/>
    <d v="2023-10-22T00:00:00"/>
    <m/>
    <s v="CUST044"/>
    <s v="Grace Ward"/>
    <x v="1"/>
    <s v="PROD002"/>
    <x v="15"/>
    <x v="1"/>
    <x v="1"/>
    <n v="41"/>
    <n v="4"/>
    <n v="164"/>
    <x v="1"/>
    <x v="1"/>
    <x v="3"/>
    <s v="Active"/>
    <x v="2"/>
    <n v="5"/>
    <n v="50500"/>
  </r>
  <r>
    <x v="37"/>
    <x v="36"/>
    <m/>
    <d v="2023-08-24T00:00:00"/>
    <s v="CUST028"/>
    <s v="Lily Bennett"/>
    <x v="1"/>
    <s v="PROD007"/>
    <x v="20"/>
    <x v="1"/>
    <x v="0"/>
    <n v="32"/>
    <n v="2"/>
    <n v="64"/>
    <x v="4"/>
    <x v="0"/>
    <x v="4"/>
    <s v="Cancelled"/>
    <x v="0"/>
    <s v=""/>
    <n v="105000"/>
  </r>
  <r>
    <x v="38"/>
    <x v="37"/>
    <m/>
    <m/>
    <s v="CUST024"/>
    <s v="Scarlett Murphy"/>
    <x v="1"/>
    <s v="PROD022"/>
    <x v="16"/>
    <x v="2"/>
    <x v="1"/>
    <n v="66"/>
    <n v="2"/>
    <n v="132"/>
    <x v="0"/>
    <x v="2"/>
    <x v="0"/>
    <s v="Active"/>
    <x v="0"/>
    <s v=""/>
    <n v="50500"/>
  </r>
  <r>
    <x v="39"/>
    <x v="38"/>
    <m/>
    <m/>
    <s v="CUST006"/>
    <s v="Ava Robinson"/>
    <x v="2"/>
    <s v="PROD004"/>
    <x v="21"/>
    <x v="1"/>
    <x v="1"/>
    <n v="62"/>
    <n v="4"/>
    <n v="248"/>
    <x v="4"/>
    <x v="2"/>
    <x v="2"/>
    <s v="Active"/>
    <x v="0"/>
    <s v=""/>
    <n v="50500"/>
  </r>
  <r>
    <x v="40"/>
    <x v="39"/>
    <d v="2023-09-30T00:00:00"/>
    <m/>
    <s v="CUST001"/>
    <s v="James Miller"/>
    <x v="1"/>
    <s v="PROD011"/>
    <x v="18"/>
    <x v="3"/>
    <x v="4"/>
    <n v="173"/>
    <n v="4"/>
    <n v="692"/>
    <x v="0"/>
    <x v="1"/>
    <x v="2"/>
    <s v="Active"/>
    <x v="2"/>
    <n v="7"/>
    <n v="90750"/>
  </r>
  <r>
    <x v="41"/>
    <x v="40"/>
    <d v="2023-07-18T00:00:00"/>
    <m/>
    <s v="CUST007"/>
    <s v="Liam Walker"/>
    <x v="2"/>
    <s v="PROD004"/>
    <x v="21"/>
    <x v="1"/>
    <x v="4"/>
    <n v="63"/>
    <n v="3"/>
    <n v="189"/>
    <x v="0"/>
    <x v="1"/>
    <x v="2"/>
    <s v="Active"/>
    <x v="1"/>
    <n v="2"/>
    <n v="90750"/>
  </r>
  <r>
    <x v="42"/>
    <x v="41"/>
    <m/>
    <d v="2023-02-11T00:00:00"/>
    <s v="CUST040"/>
    <s v="Benjamin Clark"/>
    <x v="2"/>
    <s v="PROD021"/>
    <x v="5"/>
    <x v="0"/>
    <x v="4"/>
    <n v="36"/>
    <n v="3"/>
    <n v="108"/>
    <x v="4"/>
    <x v="0"/>
    <x v="1"/>
    <s v="Cancelled"/>
    <x v="0"/>
    <s v=""/>
    <n v="90750"/>
  </r>
  <r>
    <x v="43"/>
    <x v="42"/>
    <m/>
    <d v="2023-12-23T00:00:00"/>
    <s v="CUST006"/>
    <s v="Ava Robinson"/>
    <x v="2"/>
    <s v="PROD004"/>
    <x v="21"/>
    <x v="1"/>
    <x v="3"/>
    <n v="62"/>
    <n v="1"/>
    <n v="62"/>
    <x v="0"/>
    <x v="0"/>
    <x v="3"/>
    <s v="Cancelled"/>
    <x v="0"/>
    <s v=""/>
    <n v="97500"/>
  </r>
  <r>
    <x v="44"/>
    <x v="43"/>
    <m/>
    <d v="2023-06-14T00:00:00"/>
    <s v="CUST042"/>
    <s v="Noah Wilson"/>
    <x v="2"/>
    <s v="PROD003"/>
    <x v="7"/>
    <x v="0"/>
    <x v="3"/>
    <n v="137"/>
    <n v="5"/>
    <n v="685"/>
    <x v="3"/>
    <x v="0"/>
    <x v="4"/>
    <s v="Cancelled"/>
    <x v="0"/>
    <s v=""/>
    <n v="97500"/>
  </r>
  <r>
    <x v="45"/>
    <x v="44"/>
    <d v="2023-12-08T00:00:00"/>
    <m/>
    <s v="CUST039"/>
    <s v="Logan Ramirez"/>
    <x v="0"/>
    <s v="PROD017"/>
    <x v="10"/>
    <x v="3"/>
    <x v="0"/>
    <n v="73"/>
    <n v="4"/>
    <n v="292"/>
    <x v="1"/>
    <x v="1"/>
    <x v="3"/>
    <s v="Active"/>
    <x v="2"/>
    <n v="4"/>
    <n v="105000"/>
  </r>
  <r>
    <x v="46"/>
    <x v="45"/>
    <d v="2023-07-19T00:00:00"/>
    <m/>
    <s v="CUST041"/>
    <s v="Jacob Price"/>
    <x v="1"/>
    <s v="PROD020"/>
    <x v="4"/>
    <x v="3"/>
    <x v="0"/>
    <n v="104"/>
    <n v="1"/>
    <n v="104"/>
    <x v="2"/>
    <x v="1"/>
    <x v="3"/>
    <s v="Active"/>
    <x v="1"/>
    <n v="2"/>
    <n v="105000"/>
  </r>
  <r>
    <x v="47"/>
    <x v="46"/>
    <d v="2023-10-24T00:00:00"/>
    <m/>
    <s v="CUST044"/>
    <s v="Grace Ward"/>
    <x v="1"/>
    <s v="PROD006"/>
    <x v="9"/>
    <x v="2"/>
    <x v="1"/>
    <n v="97"/>
    <n v="1"/>
    <n v="97"/>
    <x v="3"/>
    <x v="1"/>
    <x v="4"/>
    <s v="Active"/>
    <x v="2"/>
    <n v="5"/>
    <n v="50500"/>
  </r>
  <r>
    <x v="48"/>
    <x v="47"/>
    <m/>
    <m/>
    <s v="CUST026"/>
    <s v="Zoe Mitchell"/>
    <x v="0"/>
    <s v="PROD017"/>
    <x v="10"/>
    <x v="3"/>
    <x v="2"/>
    <n v="73"/>
    <n v="5"/>
    <n v="365"/>
    <x v="0"/>
    <x v="2"/>
    <x v="3"/>
    <s v="Active"/>
    <x v="0"/>
    <s v=""/>
    <n v="91500"/>
  </r>
  <r>
    <x v="49"/>
    <x v="48"/>
    <d v="2023-02-19T00:00:00"/>
    <m/>
    <s v="CUST040"/>
    <s v="Benjamin Clark"/>
    <x v="2"/>
    <s v="PROD005"/>
    <x v="11"/>
    <x v="2"/>
    <x v="1"/>
    <n v="27"/>
    <n v="3"/>
    <n v="81"/>
    <x v="3"/>
    <x v="1"/>
    <x v="2"/>
    <s v="Active"/>
    <x v="2"/>
    <n v="7"/>
    <n v="50500"/>
  </r>
  <r>
    <x v="50"/>
    <x v="20"/>
    <m/>
    <m/>
    <s v="CUST041"/>
    <s v="Jacob Price"/>
    <x v="1"/>
    <s v="PROD021"/>
    <x v="5"/>
    <x v="0"/>
    <x v="0"/>
    <n v="37"/>
    <n v="1"/>
    <n v="37"/>
    <x v="0"/>
    <x v="2"/>
    <x v="2"/>
    <s v="Active"/>
    <x v="0"/>
    <s v=""/>
    <n v="105000"/>
  </r>
  <r>
    <x v="51"/>
    <x v="49"/>
    <d v="2023-02-01T00:00:00"/>
    <m/>
    <s v="CUST008"/>
    <s v="Harper Young"/>
    <x v="1"/>
    <s v="PROD015"/>
    <x v="12"/>
    <x v="4"/>
    <x v="0"/>
    <n v="22"/>
    <n v="1"/>
    <n v="22"/>
    <x v="4"/>
    <x v="1"/>
    <x v="4"/>
    <s v="Active"/>
    <x v="1"/>
    <n v="2"/>
    <n v="105000"/>
  </r>
  <r>
    <x v="52"/>
    <x v="9"/>
    <d v="2024-01-01T00:00:00"/>
    <m/>
    <s v="CUST011"/>
    <s v="Mason Hall"/>
    <x v="1"/>
    <s v="PROD016"/>
    <x v="19"/>
    <x v="0"/>
    <x v="3"/>
    <n v="218"/>
    <n v="5"/>
    <n v="1090"/>
    <x v="2"/>
    <x v="1"/>
    <x v="0"/>
    <s v="Active"/>
    <x v="2"/>
    <n v="3"/>
    <n v="97500"/>
  </r>
  <r>
    <x v="53"/>
    <x v="50"/>
    <m/>
    <d v="2023-03-13T00:00:00"/>
    <s v="CUST018"/>
    <s v="Grace Scott"/>
    <x v="0"/>
    <s v="PROD004"/>
    <x v="21"/>
    <x v="1"/>
    <x v="0"/>
    <n v="64"/>
    <n v="1"/>
    <n v="64"/>
    <x v="0"/>
    <x v="0"/>
    <x v="1"/>
    <s v="Cancelled"/>
    <x v="0"/>
    <s v=""/>
    <n v="105000"/>
  </r>
  <r>
    <x v="54"/>
    <x v="4"/>
    <d v="2023-02-06T00:00:00"/>
    <m/>
    <s v="CUST037"/>
    <s v="Emily Johnson"/>
    <x v="0"/>
    <s v="PROD021"/>
    <x v="5"/>
    <x v="0"/>
    <x v="3"/>
    <n v="36"/>
    <n v="4"/>
    <n v="144"/>
    <x v="2"/>
    <x v="1"/>
    <x v="3"/>
    <s v="Active"/>
    <x v="2"/>
    <n v="4"/>
    <n v="97500"/>
  </r>
  <r>
    <x v="55"/>
    <x v="51"/>
    <d v="2023-10-21T00:00:00"/>
    <m/>
    <s v="CUST017"/>
    <s v="Emma King"/>
    <x v="1"/>
    <s v="PROD004"/>
    <x v="21"/>
    <x v="1"/>
    <x v="4"/>
    <n v="65"/>
    <n v="1"/>
    <n v="65"/>
    <x v="3"/>
    <x v="1"/>
    <x v="4"/>
    <s v="Active"/>
    <x v="2"/>
    <n v="3"/>
    <n v="90750"/>
  </r>
  <r>
    <x v="56"/>
    <x v="52"/>
    <d v="2023-01-09T00:00:00"/>
    <m/>
    <s v="CUST025"/>
    <s v="Emma King"/>
    <x v="0"/>
    <s v="PROD005"/>
    <x v="11"/>
    <x v="2"/>
    <x v="3"/>
    <n v="26"/>
    <n v="1"/>
    <n v="26"/>
    <x v="0"/>
    <x v="1"/>
    <x v="0"/>
    <s v="Active"/>
    <x v="1"/>
    <n v="2"/>
    <n v="97500"/>
  </r>
  <r>
    <x v="57"/>
    <x v="53"/>
    <m/>
    <m/>
    <s v="CUST021"/>
    <s v="Zoe Mitchell"/>
    <x v="0"/>
    <s v="PROD009"/>
    <x v="17"/>
    <x v="4"/>
    <x v="0"/>
    <n v="11"/>
    <n v="5"/>
    <n v="55"/>
    <x v="1"/>
    <x v="2"/>
    <x v="4"/>
    <s v="Active"/>
    <x v="0"/>
    <s v=""/>
    <n v="105000"/>
  </r>
  <r>
    <x v="58"/>
    <x v="54"/>
    <m/>
    <d v="2023-04-05T00:00:00"/>
    <s v="CUST003"/>
    <s v="Ethan Davis"/>
    <x v="2"/>
    <s v="PROD013"/>
    <x v="2"/>
    <x v="0"/>
    <x v="0"/>
    <n v="195"/>
    <n v="4"/>
    <n v="780"/>
    <x v="2"/>
    <x v="0"/>
    <x v="4"/>
    <s v="Cancelled"/>
    <x v="0"/>
    <s v=""/>
    <n v="105000"/>
  </r>
  <r>
    <x v="59"/>
    <x v="2"/>
    <m/>
    <d v="2023-10-12T00:00:00"/>
    <s v="CUST019"/>
    <s v="Ava Robinson"/>
    <x v="2"/>
    <s v="PROD019"/>
    <x v="6"/>
    <x v="2"/>
    <x v="4"/>
    <n v="44"/>
    <n v="5"/>
    <n v="220"/>
    <x v="0"/>
    <x v="0"/>
    <x v="1"/>
    <s v="Cancelled"/>
    <x v="0"/>
    <s v=""/>
    <n v="90750"/>
  </r>
  <r>
    <x v="60"/>
    <x v="55"/>
    <m/>
    <m/>
    <s v="CUST035"/>
    <s v="Scarlett Adams"/>
    <x v="1"/>
    <s v="PROD008"/>
    <x v="13"/>
    <x v="4"/>
    <x v="1"/>
    <n v="69"/>
    <n v="4"/>
    <n v="276"/>
    <x v="4"/>
    <x v="2"/>
    <x v="0"/>
    <s v="Active"/>
    <x v="0"/>
    <s v=""/>
    <n v="50500"/>
  </r>
  <r>
    <x v="61"/>
    <x v="56"/>
    <d v="2023-11-29T00:00:00"/>
    <m/>
    <s v="CUST022"/>
    <s v="Elijah Lewis"/>
    <x v="0"/>
    <s v="PROD001"/>
    <x v="14"/>
    <x v="3"/>
    <x v="0"/>
    <n v="815"/>
    <n v="4"/>
    <n v="3260"/>
    <x v="1"/>
    <x v="1"/>
    <x v="1"/>
    <s v="Active"/>
    <x v="2"/>
    <n v="7"/>
    <n v="105000"/>
  </r>
  <r>
    <x v="62"/>
    <x v="57"/>
    <m/>
    <m/>
    <s v="CUST004"/>
    <s v="Noah Wilson"/>
    <x v="2"/>
    <s v="PROD005"/>
    <x v="11"/>
    <x v="2"/>
    <x v="1"/>
    <n v="27"/>
    <n v="1"/>
    <n v="27"/>
    <x v="4"/>
    <x v="2"/>
    <x v="3"/>
    <s v="Active"/>
    <x v="0"/>
    <s v=""/>
    <n v="50500"/>
  </r>
  <r>
    <x v="63"/>
    <x v="38"/>
    <d v="2023-12-29T00:00:00"/>
    <m/>
    <s v="CUST048"/>
    <s v="Noah Wilson"/>
    <x v="1"/>
    <s v="PROD003"/>
    <x v="7"/>
    <x v="0"/>
    <x v="4"/>
    <n v="139"/>
    <n v="5"/>
    <n v="695"/>
    <x v="0"/>
    <x v="1"/>
    <x v="1"/>
    <s v="Active"/>
    <x v="2"/>
    <n v="4"/>
    <n v="90750"/>
  </r>
  <r>
    <x v="64"/>
    <x v="51"/>
    <m/>
    <d v="2023-10-20T00:00:00"/>
    <s v="CUST009"/>
    <s v="Jackson Allen"/>
    <x v="1"/>
    <s v="PROD008"/>
    <x v="13"/>
    <x v="4"/>
    <x v="2"/>
    <n v="69"/>
    <n v="3"/>
    <n v="207"/>
    <x v="2"/>
    <x v="0"/>
    <x v="3"/>
    <s v="Cancelled"/>
    <x v="0"/>
    <s v=""/>
    <n v="91500"/>
  </r>
  <r>
    <x v="65"/>
    <x v="58"/>
    <m/>
    <d v="2023-05-21T00:00:00"/>
    <s v="CUST009"/>
    <s v="Jackson Allen"/>
    <x v="1"/>
    <s v="PROD019"/>
    <x v="6"/>
    <x v="2"/>
    <x v="4"/>
    <n v="42"/>
    <n v="1"/>
    <n v="42"/>
    <x v="0"/>
    <x v="0"/>
    <x v="0"/>
    <s v="Cancelled"/>
    <x v="0"/>
    <s v=""/>
    <n v="90750"/>
  </r>
  <r>
    <x v="66"/>
    <x v="59"/>
    <d v="2023-07-30T00:00:00"/>
    <m/>
    <s v="CUST050"/>
    <s v="NA"/>
    <x v="3"/>
    <s v="PROD007"/>
    <x v="20"/>
    <x v="1"/>
    <x v="0"/>
    <n v="31"/>
    <n v="4"/>
    <n v="124"/>
    <x v="1"/>
    <x v="1"/>
    <x v="2"/>
    <s v="Active"/>
    <x v="1"/>
    <n v="2"/>
    <n v="105000"/>
  </r>
  <r>
    <x v="67"/>
    <x v="42"/>
    <m/>
    <m/>
    <s v="CUST045"/>
    <s v="Emily Johnson"/>
    <x v="0"/>
    <s v="PROD020"/>
    <x v="4"/>
    <x v="3"/>
    <x v="4"/>
    <n v="104"/>
    <n v="3"/>
    <n v="312"/>
    <x v="1"/>
    <x v="2"/>
    <x v="2"/>
    <s v="Active"/>
    <x v="0"/>
    <s v=""/>
    <n v="90750"/>
  </r>
  <r>
    <x v="68"/>
    <x v="60"/>
    <m/>
    <d v="2023-07-07T00:00:00"/>
    <s v="CUST044"/>
    <s v="Grace Ward"/>
    <x v="1"/>
    <s v="PROD010"/>
    <x v="3"/>
    <x v="2"/>
    <x v="1"/>
    <n v="58"/>
    <n v="2"/>
    <n v="116"/>
    <x v="0"/>
    <x v="0"/>
    <x v="1"/>
    <s v="Cancelled"/>
    <x v="0"/>
    <s v=""/>
    <n v="50500"/>
  </r>
  <r>
    <x v="69"/>
    <x v="26"/>
    <m/>
    <d v="2023-10-10T00:00:00"/>
    <s v="CUST009"/>
    <s v="Jackson Allen"/>
    <x v="1"/>
    <s v="PROD004"/>
    <x v="21"/>
    <x v="1"/>
    <x v="4"/>
    <n v="62"/>
    <n v="2"/>
    <n v="124"/>
    <x v="4"/>
    <x v="0"/>
    <x v="0"/>
    <s v="Cancelled"/>
    <x v="0"/>
    <s v=""/>
    <n v="90750"/>
  </r>
  <r>
    <x v="70"/>
    <x v="42"/>
    <d v="2023-12-25T00:00:00"/>
    <m/>
    <s v="CUST006"/>
    <s v="Ava Robinson"/>
    <x v="2"/>
    <s v="PROD019"/>
    <x v="6"/>
    <x v="2"/>
    <x v="1"/>
    <n v="43"/>
    <n v="1"/>
    <n v="43"/>
    <x v="1"/>
    <x v="1"/>
    <x v="3"/>
    <s v="Active"/>
    <x v="2"/>
    <n v="7"/>
    <n v="50500"/>
  </r>
  <r>
    <x v="71"/>
    <x v="61"/>
    <m/>
    <m/>
    <s v="CUST022"/>
    <s v="Elijah Lewis"/>
    <x v="0"/>
    <s v="PROD004"/>
    <x v="21"/>
    <x v="1"/>
    <x v="1"/>
    <n v="62"/>
    <n v="4"/>
    <n v="248"/>
    <x v="4"/>
    <x v="2"/>
    <x v="3"/>
    <s v="Active"/>
    <x v="0"/>
    <s v=""/>
    <n v="50500"/>
  </r>
  <r>
    <x v="72"/>
    <x v="62"/>
    <m/>
    <d v="2023-07-25T00:00:00"/>
    <s v="CUST028"/>
    <s v="Lily Bennett"/>
    <x v="1"/>
    <s v="PROD006"/>
    <x v="9"/>
    <x v="2"/>
    <x v="0"/>
    <n v="95"/>
    <n v="2"/>
    <n v="190"/>
    <x v="2"/>
    <x v="0"/>
    <x v="2"/>
    <s v="Cancelled"/>
    <x v="0"/>
    <s v=""/>
    <n v="105000"/>
  </r>
  <r>
    <x v="73"/>
    <x v="63"/>
    <d v="2023-01-24T00:00:00"/>
    <m/>
    <s v="CUST016"/>
    <s v="Elijah Lewis"/>
    <x v="2"/>
    <s v="PROD021"/>
    <x v="5"/>
    <x v="0"/>
    <x v="3"/>
    <n v="36"/>
    <n v="4"/>
    <n v="144"/>
    <x v="0"/>
    <x v="1"/>
    <x v="4"/>
    <s v="Active"/>
    <x v="2"/>
    <n v="6"/>
    <n v="97500"/>
  </r>
  <r>
    <x v="74"/>
    <x v="64"/>
    <m/>
    <m/>
    <s v="CUST042"/>
    <s v="Noah Wilson"/>
    <x v="2"/>
    <s v="PROD017"/>
    <x v="10"/>
    <x v="3"/>
    <x v="1"/>
    <n v="73"/>
    <n v="5"/>
    <n v="365"/>
    <x v="0"/>
    <x v="2"/>
    <x v="0"/>
    <s v="Active"/>
    <x v="0"/>
    <s v=""/>
    <n v="50500"/>
  </r>
  <r>
    <x v="75"/>
    <x v="65"/>
    <d v="2023-09-09T00:00:00"/>
    <m/>
    <s v="CUST023"/>
    <s v="Charlotte Reed"/>
    <x v="0"/>
    <s v="PROD019"/>
    <x v="6"/>
    <x v="2"/>
    <x v="0"/>
    <n v="43"/>
    <n v="4"/>
    <n v="172"/>
    <x v="4"/>
    <x v="1"/>
    <x v="0"/>
    <s v="Active"/>
    <x v="2"/>
    <n v="6"/>
    <n v="105000"/>
  </r>
  <r>
    <x v="76"/>
    <x v="22"/>
    <d v="2023-11-04T00:00:00"/>
    <m/>
    <s v="CUST004"/>
    <s v="Noah Wilson"/>
    <x v="2"/>
    <s v="PROD016"/>
    <x v="19"/>
    <x v="0"/>
    <x v="4"/>
    <n v="214"/>
    <n v="5"/>
    <n v="1070"/>
    <x v="4"/>
    <x v="1"/>
    <x v="2"/>
    <s v="Active"/>
    <x v="1"/>
    <n v="2"/>
    <n v="90750"/>
  </r>
  <r>
    <x v="77"/>
    <x v="66"/>
    <m/>
    <d v="2023-12-06T00:00:00"/>
    <s v="CUST048"/>
    <s v="Noah Wilson"/>
    <x v="1"/>
    <s v="PROD002"/>
    <x v="15"/>
    <x v="1"/>
    <x v="3"/>
    <n v="42"/>
    <n v="2"/>
    <n v="84"/>
    <x v="0"/>
    <x v="0"/>
    <x v="2"/>
    <s v="Cancelled"/>
    <x v="0"/>
    <s v=""/>
    <n v="97500"/>
  </r>
  <r>
    <x v="78"/>
    <x v="7"/>
    <m/>
    <m/>
    <s v="CUST048"/>
    <s v="Noah Wilson"/>
    <x v="1"/>
    <s v="PROD012"/>
    <x v="0"/>
    <x v="0"/>
    <x v="0"/>
    <n v="46"/>
    <n v="1"/>
    <n v="46"/>
    <x v="3"/>
    <x v="2"/>
    <x v="2"/>
    <s v="Active"/>
    <x v="0"/>
    <s v=""/>
    <n v="105000"/>
  </r>
  <r>
    <x v="79"/>
    <x v="67"/>
    <d v="2023-10-19T00:00:00"/>
    <m/>
    <s v="CUST032"/>
    <s v="Luke Gray"/>
    <x v="1"/>
    <s v="PROD018"/>
    <x v="1"/>
    <x v="1"/>
    <x v="1"/>
    <n v="95"/>
    <n v="4"/>
    <n v="380"/>
    <x v="1"/>
    <x v="1"/>
    <x v="2"/>
    <s v="Active"/>
    <x v="2"/>
    <n v="3"/>
    <n v="50500"/>
  </r>
  <r>
    <x v="80"/>
    <x v="68"/>
    <m/>
    <m/>
    <s v="CUST001"/>
    <s v="James Miller"/>
    <x v="1"/>
    <s v="PROD011"/>
    <x v="18"/>
    <x v="3"/>
    <x v="4"/>
    <n v="174"/>
    <n v="2"/>
    <n v="348"/>
    <x v="2"/>
    <x v="2"/>
    <x v="2"/>
    <s v="Active"/>
    <x v="0"/>
    <s v=""/>
    <n v="90750"/>
  </r>
  <r>
    <x v="81"/>
    <x v="30"/>
    <m/>
    <d v="2023-06-18T00:00:00"/>
    <s v="CUST046"/>
    <s v="Emily Johnson"/>
    <x v="2"/>
    <s v="PROD005"/>
    <x v="11"/>
    <x v="2"/>
    <x v="0"/>
    <n v="27"/>
    <n v="5"/>
    <n v="135"/>
    <x v="1"/>
    <x v="0"/>
    <x v="3"/>
    <s v="Cancelled"/>
    <x v="0"/>
    <s v=""/>
    <n v="105000"/>
  </r>
  <r>
    <x v="82"/>
    <x v="69"/>
    <d v="2023-10-30T00:00:00"/>
    <m/>
    <s v="CUST021"/>
    <s v="Zoe Mitchell"/>
    <x v="0"/>
    <s v="PROD005"/>
    <x v="11"/>
    <x v="2"/>
    <x v="2"/>
    <n v="27"/>
    <n v="4"/>
    <n v="108"/>
    <x v="2"/>
    <x v="1"/>
    <x v="1"/>
    <s v="Active"/>
    <x v="1"/>
    <n v="2"/>
    <n v="91500"/>
  </r>
  <r>
    <x v="83"/>
    <x v="33"/>
    <m/>
    <m/>
    <s v="CUST015"/>
    <s v="Ava White"/>
    <x v="0"/>
    <s v="PROD022"/>
    <x v="16"/>
    <x v="2"/>
    <x v="2"/>
    <n v="65"/>
    <n v="2"/>
    <n v="130"/>
    <x v="2"/>
    <x v="2"/>
    <x v="0"/>
    <s v="Active"/>
    <x v="0"/>
    <s v=""/>
    <n v="91500"/>
  </r>
  <r>
    <x v="84"/>
    <x v="61"/>
    <m/>
    <m/>
    <s v="CUST045"/>
    <s v="Emily Johnson"/>
    <x v="0"/>
    <s v="PROD019"/>
    <x v="6"/>
    <x v="2"/>
    <x v="1"/>
    <n v="43"/>
    <n v="5"/>
    <n v="215"/>
    <x v="4"/>
    <x v="2"/>
    <x v="0"/>
    <s v="Active"/>
    <x v="0"/>
    <s v=""/>
    <n v="50500"/>
  </r>
  <r>
    <x v="85"/>
    <x v="70"/>
    <m/>
    <m/>
    <s v="CUST007"/>
    <s v="Liam Walker"/>
    <x v="2"/>
    <s v="PROD016"/>
    <x v="19"/>
    <x v="0"/>
    <x v="4"/>
    <n v="210"/>
    <n v="1"/>
    <n v="210"/>
    <x v="2"/>
    <x v="2"/>
    <x v="2"/>
    <s v="Active"/>
    <x v="0"/>
    <s v=""/>
    <n v="90750"/>
  </r>
  <r>
    <x v="86"/>
    <x v="56"/>
    <m/>
    <m/>
    <s v="CUST043"/>
    <s v="Lily Reed"/>
    <x v="0"/>
    <s v="PROD021"/>
    <x v="5"/>
    <x v="0"/>
    <x v="2"/>
    <n v="37"/>
    <n v="3"/>
    <n v="111"/>
    <x v="1"/>
    <x v="2"/>
    <x v="2"/>
    <s v="Active"/>
    <x v="0"/>
    <s v=""/>
    <n v="91500"/>
  </r>
  <r>
    <x v="87"/>
    <x v="53"/>
    <m/>
    <m/>
    <s v="CUST007"/>
    <s v="Liam Walker"/>
    <x v="2"/>
    <s v="PROD001"/>
    <x v="14"/>
    <x v="3"/>
    <x v="2"/>
    <n v="788"/>
    <n v="4"/>
    <n v="3152"/>
    <x v="4"/>
    <x v="2"/>
    <x v="3"/>
    <s v="Active"/>
    <x v="0"/>
    <s v=""/>
    <n v="91500"/>
  </r>
  <r>
    <x v="88"/>
    <x v="71"/>
    <m/>
    <m/>
    <s v="CUST007"/>
    <s v="Liam Walker"/>
    <x v="2"/>
    <s v="PROD016"/>
    <x v="19"/>
    <x v="0"/>
    <x v="4"/>
    <n v="217"/>
    <n v="5"/>
    <n v="1085"/>
    <x v="4"/>
    <x v="2"/>
    <x v="4"/>
    <s v="Active"/>
    <x v="0"/>
    <s v=""/>
    <n v="90750"/>
  </r>
  <r>
    <x v="89"/>
    <x v="63"/>
    <m/>
    <m/>
    <s v="CUST007"/>
    <s v="Liam Walker"/>
    <x v="2"/>
    <s v="PROD003"/>
    <x v="7"/>
    <x v="0"/>
    <x v="4"/>
    <n v="138"/>
    <n v="4"/>
    <n v="552"/>
    <x v="1"/>
    <x v="2"/>
    <x v="4"/>
    <s v="Active"/>
    <x v="0"/>
    <s v=""/>
    <n v="90750"/>
  </r>
  <r>
    <x v="90"/>
    <x v="72"/>
    <d v="2023-06-29T00:00:00"/>
    <m/>
    <s v="CUST031"/>
    <s v="Mason Collins"/>
    <x v="1"/>
    <s v="PROD001"/>
    <x v="14"/>
    <x v="3"/>
    <x v="3"/>
    <n v="803"/>
    <n v="2"/>
    <n v="1606"/>
    <x v="0"/>
    <x v="1"/>
    <x v="4"/>
    <s v="Active"/>
    <x v="2"/>
    <n v="6"/>
    <n v="97500"/>
  </r>
  <r>
    <x v="91"/>
    <x v="73"/>
    <m/>
    <d v="2023-02-25T00:00:00"/>
    <s v="CUST013"/>
    <s v="Olivia Martinez"/>
    <x v="2"/>
    <s v="PROD014"/>
    <x v="8"/>
    <x v="3"/>
    <x v="0"/>
    <n v="248"/>
    <n v="5"/>
    <n v="1240"/>
    <x v="2"/>
    <x v="0"/>
    <x v="2"/>
    <s v="Cancelled"/>
    <x v="0"/>
    <s v=""/>
    <n v="105000"/>
  </r>
  <r>
    <x v="92"/>
    <x v="74"/>
    <d v="2023-02-21T00:00:00"/>
    <m/>
    <s v="CUST036"/>
    <s v="Ethan Davis"/>
    <x v="1"/>
    <s v="PROD016"/>
    <x v="19"/>
    <x v="0"/>
    <x v="1"/>
    <n v="210"/>
    <n v="3"/>
    <n v="630"/>
    <x v="0"/>
    <x v="1"/>
    <x v="0"/>
    <s v="Active"/>
    <x v="1"/>
    <n v="2"/>
    <n v="50500"/>
  </r>
  <r>
    <x v="93"/>
    <x v="75"/>
    <m/>
    <d v="2023-12-12T00:00:00"/>
    <s v="CUST013"/>
    <s v="Olivia Martinez"/>
    <x v="2"/>
    <s v="PROD004"/>
    <x v="21"/>
    <x v="1"/>
    <x v="0"/>
    <n v="62"/>
    <n v="2"/>
    <n v="124"/>
    <x v="1"/>
    <x v="0"/>
    <x v="4"/>
    <s v="Cancelled"/>
    <x v="0"/>
    <s v=""/>
    <n v="105000"/>
  </r>
  <r>
    <x v="94"/>
    <x v="76"/>
    <m/>
    <d v="2023-06-12T00:00:00"/>
    <s v="CUST043"/>
    <s v="Lily Reed"/>
    <x v="0"/>
    <s v="PROD009"/>
    <x v="17"/>
    <x v="4"/>
    <x v="2"/>
    <n v="11"/>
    <n v="5"/>
    <n v="55"/>
    <x v="4"/>
    <x v="0"/>
    <x v="3"/>
    <s v="Cancelled"/>
    <x v="0"/>
    <s v=""/>
    <n v="91500"/>
  </r>
  <r>
    <x v="95"/>
    <x v="77"/>
    <d v="2023-07-12T00:00:00"/>
    <m/>
    <s v="CUST017"/>
    <s v="Emma King"/>
    <x v="1"/>
    <s v="PROD015"/>
    <x v="12"/>
    <x v="4"/>
    <x v="0"/>
    <n v="21"/>
    <n v="2"/>
    <n v="42"/>
    <x v="3"/>
    <x v="1"/>
    <x v="2"/>
    <s v="Active"/>
    <x v="2"/>
    <n v="3"/>
    <n v="105000"/>
  </r>
  <r>
    <x v="96"/>
    <x v="78"/>
    <d v="2023-12-26T00:00:00"/>
    <m/>
    <s v="CUST023"/>
    <s v="Charlotte Reed"/>
    <x v="0"/>
    <s v="PROD018"/>
    <x v="1"/>
    <x v="1"/>
    <x v="4"/>
    <n v="95"/>
    <n v="5"/>
    <n v="475"/>
    <x v="3"/>
    <x v="1"/>
    <x v="3"/>
    <s v="Active"/>
    <x v="2"/>
    <n v="3"/>
    <n v="90750"/>
  </r>
  <r>
    <x v="97"/>
    <x v="79"/>
    <d v="2023-09-30T00:00:00"/>
    <m/>
    <s v="CUST044"/>
    <s v="Grace Ward"/>
    <x v="1"/>
    <s v="PROD016"/>
    <x v="19"/>
    <x v="0"/>
    <x v="2"/>
    <n v="215"/>
    <n v="2"/>
    <n v="430"/>
    <x v="2"/>
    <x v="1"/>
    <x v="3"/>
    <s v="Active"/>
    <x v="2"/>
    <n v="5"/>
    <n v="91500"/>
  </r>
  <r>
    <x v="98"/>
    <x v="63"/>
    <m/>
    <d v="2023-01-24T00:00:00"/>
    <s v="CUST034"/>
    <s v="Lily Simmons"/>
    <x v="0"/>
    <s v="PROD019"/>
    <x v="6"/>
    <x v="2"/>
    <x v="4"/>
    <n v="43"/>
    <n v="5"/>
    <n v="215"/>
    <x v="1"/>
    <x v="0"/>
    <x v="2"/>
    <s v="Cancelled"/>
    <x v="0"/>
    <s v=""/>
    <n v="90750"/>
  </r>
  <r>
    <x v="99"/>
    <x v="80"/>
    <m/>
    <m/>
    <s v="CUST009"/>
    <s v="Jackson Allen"/>
    <x v="1"/>
    <s v="PROD002"/>
    <x v="15"/>
    <x v="1"/>
    <x v="4"/>
    <n v="42"/>
    <n v="4"/>
    <n v="168"/>
    <x v="4"/>
    <x v="2"/>
    <x v="0"/>
    <s v="Active"/>
    <x v="0"/>
    <s v=""/>
    <n v="907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BF7025-05B6-4F6D-AD21-405C2EA90B08}" name="Avg.deliveryDaysRegion_tb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O16:P22" firstHeaderRow="1" firstDataRow="1" firstDataCol="1"/>
  <pivotFields count="2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items count="6">
        <item x="4"/>
        <item x="3"/>
        <item x="2"/>
        <item x="0"/>
        <item x="1"/>
        <item t="default"/>
      </items>
    </pivotField>
    <pivotField axis="axisRow" showAll="0" sortType="ascending">
      <items count="6">
        <item x="3"/>
        <item x="1"/>
        <item x="0"/>
        <item x="2"/>
        <item x="4"/>
        <item t="default"/>
      </items>
    </pivotField>
    <pivotField showAll="0"/>
    <pivotField showAll="0"/>
    <pivotField numFmtId="1" showAll="0"/>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i>
    <i>
      <x v="1"/>
    </i>
    <i>
      <x v="2"/>
    </i>
    <i>
      <x v="3"/>
    </i>
    <i>
      <x v="4"/>
    </i>
    <i t="grand">
      <x/>
    </i>
  </rowItems>
  <colItems count="1">
    <i/>
  </colItems>
  <dataFields count="1">
    <dataField name="Average of Delivery Days" fld="19" subtotal="average" baseField="10" baseItem="0"/>
  </dataFields>
  <formats count="1">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77DD6D-C957-4627-AAF1-4CB8D8F7B9FF}" name="TotalQuantity_tb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items count="6">
        <item x="4"/>
        <item x="3"/>
        <item x="2"/>
        <item x="0"/>
        <item x="1"/>
        <item t="default"/>
      </items>
    </pivotField>
    <pivotField showAll="0">
      <items count="6">
        <item x="3"/>
        <item x="1"/>
        <item x="0"/>
        <item x="2"/>
        <item x="4"/>
        <item t="default"/>
      </items>
    </pivotField>
    <pivotField showAll="0"/>
    <pivotField dataField="1" showAll="0"/>
    <pivotField numFmtI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D44136-3B99-4A5D-9066-F2A149ECA355}" name="DeliveryStatusOrder_tb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livery Status">
  <location ref="I16:J20" firstHeaderRow="1" firstDataRow="1" firstDataCol="1"/>
  <pivotFields count="23">
    <pivotField dataField="1"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items count="6">
        <item x="4"/>
        <item x="3"/>
        <item x="2"/>
        <item x="0"/>
        <item x="1"/>
        <item t="default"/>
      </items>
    </pivotField>
    <pivotField showAll="0" sortType="descending">
      <items count="6">
        <item x="4"/>
        <item x="2"/>
        <item x="0"/>
        <item x="1"/>
        <item x="3"/>
        <item t="default"/>
      </items>
    </pivotField>
    <pivotField showAll="0"/>
    <pivotField showAll="0"/>
    <pivotField numFmtId="1" showAll="0"/>
    <pivotField showAll="0">
      <items count="6">
        <item x="3"/>
        <item x="0"/>
        <item x="1"/>
        <item x="4"/>
        <item x="2"/>
        <item t="default"/>
      </items>
    </pivotField>
    <pivotField axis="axisRow" showAll="0">
      <items count="4">
        <item x="0"/>
        <item x="1"/>
        <item x="2"/>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4">
    <i>
      <x/>
    </i>
    <i>
      <x v="1"/>
    </i>
    <i>
      <x v="2"/>
    </i>
    <i t="grand">
      <x/>
    </i>
  </rowItems>
  <colItems count="1">
    <i/>
  </colItems>
  <dataFields count="1">
    <dataField name="Count of Order ID" fld="0" subtotal="count" baseField="0" baseItem="0"/>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0FE925-E3FD-4CBB-B035-E378BACC792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ustomer Type">
  <location ref="E19:F24" firstHeaderRow="1" firstDataRow="1" firstDataCol="1"/>
  <pivotFields count="2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axis="axisRow" showAll="0">
      <items count="5">
        <item x="1"/>
        <item x="0"/>
        <item x="3"/>
        <item x="2"/>
        <item t="default"/>
      </items>
    </pivotField>
    <pivotField showAll="0"/>
    <pivotField showAll="0"/>
    <pivotField showAll="0">
      <items count="6">
        <item x="4"/>
        <item x="3"/>
        <item x="2"/>
        <item x="0"/>
        <item x="1"/>
        <item t="default"/>
      </items>
    </pivotField>
    <pivotField showAll="0" sortType="descending">
      <items count="6">
        <item x="4"/>
        <item x="2"/>
        <item x="0"/>
        <item x="1"/>
        <item x="3"/>
        <item t="default"/>
      </items>
    </pivotField>
    <pivotField showAll="0"/>
    <pivotField showAll="0"/>
    <pivotField dataField="1" numFmtI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5">
    <i>
      <x/>
    </i>
    <i>
      <x v="1"/>
    </i>
    <i>
      <x v="2"/>
    </i>
    <i>
      <x v="3"/>
    </i>
    <i t="grand">
      <x/>
    </i>
  </rowItems>
  <colItems count="1">
    <i/>
  </colItems>
  <dataFields count="1">
    <dataField name=" Sales" fld="13" baseField="0" baseItem="0" numFmtId="1"/>
  </dataFields>
  <formats count="1">
    <format dxfId="51">
      <pivotArea outline="0" collapsedLevelsAreSubtotals="1" fieldPosition="0"/>
    </format>
  </formats>
  <chartFormats count="12">
    <chartFormat chart="0"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6" count="1" selected="0">
            <x v="0"/>
          </reference>
        </references>
      </pivotArea>
    </chartFormat>
    <chartFormat chart="12" format="6">
      <pivotArea type="data" outline="0" fieldPosition="0">
        <references count="2">
          <reference field="4294967294" count="1" selected="0">
            <x v="0"/>
          </reference>
          <reference field="6" count="1" selected="0">
            <x v="1"/>
          </reference>
        </references>
      </pivotArea>
    </chartFormat>
    <chartFormat chart="12" format="7">
      <pivotArea type="data" outline="0" fieldPosition="0">
        <references count="2">
          <reference field="4294967294" count="1" selected="0">
            <x v="0"/>
          </reference>
          <reference field="6" count="1" selected="0">
            <x v="2"/>
          </reference>
        </references>
      </pivotArea>
    </chartFormat>
    <chartFormat chart="12" format="8">
      <pivotArea type="data" outline="0" fieldPosition="0">
        <references count="2">
          <reference field="4294967294" count="1" selected="0">
            <x v="0"/>
          </reference>
          <reference field="6" count="1" selected="0">
            <x v="3"/>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6" count="1" selected="0">
            <x v="0"/>
          </reference>
        </references>
      </pivotArea>
    </chartFormat>
    <chartFormat chart="13" format="11">
      <pivotArea type="data" outline="0" fieldPosition="0">
        <references count="2">
          <reference field="4294967294" count="1" selected="0">
            <x v="0"/>
          </reference>
          <reference field="6" count="1" selected="0">
            <x v="1"/>
          </reference>
        </references>
      </pivotArea>
    </chartFormat>
    <chartFormat chart="13" format="12">
      <pivotArea type="data" outline="0" fieldPosition="0">
        <references count="2">
          <reference field="4294967294" count="1" selected="0">
            <x v="0"/>
          </reference>
          <reference field="6" count="1" selected="0">
            <x v="2"/>
          </reference>
        </references>
      </pivotArea>
    </chartFormat>
    <chartFormat chart="13" format="13">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9F0CC3-CB89-4F8A-8EB1-6EFBE9703D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Region">
  <location ref="L27:M33" firstHeaderRow="1" firstDataRow="1" firstDataCol="1"/>
  <pivotFields count="2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measureFilter="1"/>
    <pivotField showAll="0">
      <items count="6">
        <item x="4"/>
        <item x="3"/>
        <item x="2"/>
        <item x="0"/>
        <item x="1"/>
        <item t="default"/>
      </items>
    </pivotField>
    <pivotField showAll="0" sortType="descending">
      <items count="6">
        <item x="4"/>
        <item x="2"/>
        <item x="0"/>
        <item x="1"/>
        <item x="3"/>
        <item t="default"/>
      </items>
    </pivotField>
    <pivotField showAll="0"/>
    <pivotField showAll="0"/>
    <pivotField dataField="1" numFmtId="1" showAll="0"/>
    <pivotField axis="axisRow"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6">
    <i>
      <x/>
    </i>
    <i>
      <x v="1"/>
    </i>
    <i>
      <x v="2"/>
    </i>
    <i>
      <x v="3"/>
    </i>
    <i>
      <x v="4"/>
    </i>
    <i t="grand">
      <x/>
    </i>
  </rowItems>
  <colItems count="1">
    <i/>
  </colItems>
  <dataFields count="1">
    <dataField name="Sum of Total Amount" fld="13" baseField="0" baseItem="0" numFmtId="1"/>
  </dataFields>
  <formats count="1">
    <format dxfId="5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1C9B66-CBCA-4450-87B9-04A67101062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livery Status">
  <location ref="A19:B23" firstHeaderRow="1" firstDataRow="1" firstDataCol="1"/>
  <pivotFields count="2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pivotField showAll="0" sortType="descending"/>
    <pivotField showAll="0"/>
    <pivotField showAll="0"/>
    <pivotField numFmtId="1" showAll="0"/>
    <pivotField showAll="0"/>
    <pivotField axis="axisRow" dataField="1" showAll="0">
      <items count="4">
        <item x="0"/>
        <item x="1"/>
        <item x="2"/>
        <item t="default"/>
      </items>
    </pivotField>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4">
    <i>
      <x/>
    </i>
    <i>
      <x v="1"/>
    </i>
    <i>
      <x v="2"/>
    </i>
    <i t="grand">
      <x/>
    </i>
  </rowItems>
  <colItems count="1">
    <i/>
  </colItems>
  <dataFields count="1">
    <dataField name="Count of Delivery Status" fld="15" subtotal="count" baseField="0" baseItem="0"/>
  </dataFields>
  <formats count="1">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42E797-DF5D-4CD3-984E-8588AAB8C6F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Region">
  <location ref="A37:B43" firstHeaderRow="1" firstDataRow="1" firstDataCol="1"/>
  <pivotFields count="2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items count="6">
        <item x="4"/>
        <item x="3"/>
        <item x="2"/>
        <item x="0"/>
        <item x="1"/>
        <item t="default"/>
      </items>
    </pivotField>
    <pivotField showAll="0" sortType="descending">
      <items count="6">
        <item x="4"/>
        <item x="2"/>
        <item x="0"/>
        <item x="1"/>
        <item x="3"/>
        <item t="default"/>
      </items>
    </pivotField>
    <pivotField showAll="0"/>
    <pivotField showAll="0"/>
    <pivotField numFmtId="1" showAll="0"/>
    <pivotField showAll="0">
      <items count="6">
        <item x="3"/>
        <item x="0"/>
        <item x="1"/>
        <item x="4"/>
        <item x="2"/>
        <item t="default"/>
      </items>
    </pivotField>
    <pivotField showAll="0">
      <items count="4">
        <item x="0"/>
        <item x="1"/>
        <item x="2"/>
        <item t="default"/>
      </items>
    </pivotField>
    <pivotField axis="axisRow" showAll="0">
      <items count="6">
        <item x="3"/>
        <item x="0"/>
        <item x="4"/>
        <item x="2"/>
        <item x="1"/>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6"/>
  </rowFields>
  <rowItems count="6">
    <i>
      <x/>
    </i>
    <i>
      <x v="1"/>
    </i>
    <i>
      <x v="2"/>
    </i>
    <i>
      <x v="3"/>
    </i>
    <i>
      <x v="4"/>
    </i>
    <i t="grand">
      <x/>
    </i>
  </rowItems>
  <colItems count="1">
    <i/>
  </colItems>
  <dataFields count="1">
    <dataField name="Count of Order ID" fld="0" subtotal="count" baseField="0" baseItem="0"/>
  </dataFields>
  <formats count="1">
    <format dxfId="54">
      <pivotArea outline="0" collapsedLevelsAreSubtotals="1" fieldPosition="0"/>
    </format>
  </formats>
  <chartFormats count="4">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16" count="1" selected="0">
            <x v="0"/>
          </reference>
        </references>
      </pivotArea>
    </chartFormat>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5F45CB-574F-4D6A-AC0B-468E3E79E58B}" name="Top1Product_ttb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O3:P5" firstHeaderRow="1" firstDataRow="1" firstDataCol="1"/>
  <pivotFields count="2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6">
        <item x="4"/>
        <item x="3"/>
        <item x="2"/>
        <item x="0"/>
        <item x="1"/>
        <item t="default"/>
      </items>
    </pivotField>
    <pivotField showAll="0">
      <items count="6">
        <item x="3"/>
        <item x="1"/>
        <item x="0"/>
        <item x="2"/>
        <item x="4"/>
        <item t="default"/>
      </items>
    </pivotField>
    <pivotField showAll="0"/>
    <pivotField showAll="0"/>
    <pivotField dataField="1" numFmtI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2">
    <i>
      <x v="16"/>
    </i>
    <i t="grand">
      <x/>
    </i>
  </rowItems>
  <colItems count="1">
    <i/>
  </colItems>
  <dataFields count="1">
    <dataField name="Sum of Total Amount" fld="13" baseField="0" baseItem="0" numFmtId="1"/>
  </dataFields>
  <formats count="1">
    <format dxfId="55">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14E88B-5664-4157-899D-875279D39E8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O29:Q35" firstHeaderRow="0" firstDataRow="1" firstDataCol="1"/>
  <pivotFields count="2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items count="6">
        <item x="4"/>
        <item x="3"/>
        <item x="2"/>
        <item x="0"/>
        <item x="1"/>
        <item t="default"/>
      </items>
    </pivotField>
    <pivotField axis="axisRow" showAll="0" sortType="descending">
      <items count="6">
        <item x="4"/>
        <item x="2"/>
        <item x="0"/>
        <item x="1"/>
        <item x="3"/>
        <item t="default"/>
      </items>
    </pivotField>
    <pivotField showAll="0"/>
    <pivotField showAll="0"/>
    <pivotField dataField="1" numFmtI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6">
    <i>
      <x/>
    </i>
    <i>
      <x v="1"/>
    </i>
    <i>
      <x v="2"/>
    </i>
    <i>
      <x v="3"/>
    </i>
    <i>
      <x v="4"/>
    </i>
    <i t="grand">
      <x/>
    </i>
  </rowItems>
  <colFields count="1">
    <field x="-2"/>
  </colFields>
  <colItems count="2">
    <i>
      <x/>
    </i>
    <i i="1">
      <x v="1"/>
    </i>
  </colItems>
  <dataFields count="2">
    <dataField name="Sales Target" fld="20" subtotal="max" baseField="10" baseItem="0"/>
    <dataField name="Actual Sales" fld="13" baseField="0" baseItem="0" numFmtId="1"/>
  </dataFields>
  <formats count="1">
    <format dxfId="56">
      <pivotArea outline="0" collapsedLevelsAreSubtotals="1" fieldPosition="0"/>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E6BAD4-DEA5-4350-9729-9E61709C8165}" name="DeliveruStatus_tb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livery Status">
  <location ref="I9:J13" firstHeaderRow="1" firstDataRow="1" firstDataCol="1"/>
  <pivotFields count="2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measureFilter="1"/>
    <pivotField showAll="0">
      <items count="6">
        <item x="4"/>
        <item x="3"/>
        <item x="2"/>
        <item x="0"/>
        <item x="1"/>
        <item t="default"/>
      </items>
    </pivotField>
    <pivotField showAll="0" sortType="descending">
      <items count="6">
        <item x="4"/>
        <item x="2"/>
        <item x="0"/>
        <item x="1"/>
        <item x="3"/>
        <item t="default"/>
      </items>
    </pivotField>
    <pivotField showAll="0"/>
    <pivotField showAll="0"/>
    <pivotField dataField="1" numFmtId="1" showAll="0"/>
    <pivotField showAll="0">
      <items count="6">
        <item x="3"/>
        <item x="0"/>
        <item x="1"/>
        <item x="4"/>
        <item x="2"/>
        <item t="default"/>
      </items>
    </pivotField>
    <pivotField axis="axisRow" showAll="0">
      <items count="4">
        <item x="0"/>
        <item x="1"/>
        <item x="2"/>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4">
    <i>
      <x/>
    </i>
    <i>
      <x v="1"/>
    </i>
    <i>
      <x v="2"/>
    </i>
    <i t="grand">
      <x/>
    </i>
  </rowItems>
  <colItems count="1">
    <i/>
  </colItems>
  <dataFields count="1">
    <dataField name="Sum of Total Amount" fld="13" baseField="0" baseItem="0" numFmtId="1"/>
  </dataFields>
  <formats count="1">
    <format dxfId="57">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5" count="1" selected="0">
            <x v="0"/>
          </reference>
        </references>
      </pivotArea>
    </chartFormat>
    <chartFormat chart="4" format="7">
      <pivotArea type="data" outline="0" fieldPosition="0">
        <references count="2">
          <reference field="4294967294" count="1" selected="0">
            <x v="0"/>
          </reference>
          <reference field="15" count="1" selected="0">
            <x v="1"/>
          </reference>
        </references>
      </pivotArea>
    </chartFormat>
    <chartFormat chart="4" format="8">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7BDAFE-D2F9-45F2-8AB9-0FA77D4133D5}" name="DeliveryPerformance_tb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livery Performance">
  <location ref="L9:M13" firstHeaderRow="1" firstDataRow="1" firstDataCol="1"/>
  <pivotFields count="23">
    <pivotField dataField="1"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items count="6">
        <item x="4"/>
        <item x="3"/>
        <item x="2"/>
        <item x="0"/>
        <item x="1"/>
        <item t="default"/>
      </items>
    </pivotField>
    <pivotField showAll="0" sortType="descending">
      <items count="6">
        <item x="4"/>
        <item x="2"/>
        <item x="0"/>
        <item x="1"/>
        <item x="3"/>
        <item t="default"/>
      </items>
    </pivotField>
    <pivotField showAll="0"/>
    <pivotField showAll="0"/>
    <pivotField numFmtId="1" showAll="0"/>
    <pivotField showAll="0">
      <items count="6">
        <item x="3"/>
        <item x="0"/>
        <item x="1"/>
        <item x="4"/>
        <item x="2"/>
        <item t="default"/>
      </items>
    </pivotField>
    <pivotField showAll="0">
      <items count="4">
        <item x="0"/>
        <item x="1"/>
        <item x="2"/>
        <item t="default"/>
      </items>
    </pivotField>
    <pivotField showAll="0"/>
    <pivotField showAll="0"/>
    <pivotField axis="axisRow" showAll="0">
      <items count="4">
        <item x="1"/>
        <item x="0"/>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8"/>
  </rowFields>
  <rowItems count="4">
    <i>
      <x/>
    </i>
    <i>
      <x v="1"/>
    </i>
    <i>
      <x v="2"/>
    </i>
    <i t="grand">
      <x/>
    </i>
  </rowItems>
  <colItems count="1">
    <i/>
  </colItems>
  <dataFields count="1">
    <dataField name="Count of Order ID" fld="0" subtotal="count" baseField="0" baseItem="0" numFmtId="1"/>
  </dataFields>
  <formats count="1">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E8F52CB-D18C-4806-94F0-52652225AF2B}" name="TotalRevenue_tb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items count="6">
        <item x="4"/>
        <item x="3"/>
        <item x="2"/>
        <item x="0"/>
        <item x="1"/>
        <item t="default"/>
      </items>
    </pivotField>
    <pivotField showAll="0">
      <items count="6">
        <item x="3"/>
        <item x="1"/>
        <item x="0"/>
        <item x="2"/>
        <item x="4"/>
        <item t="default"/>
      </items>
    </pivotField>
    <pivotField showAll="0"/>
    <pivotField showAll="0"/>
    <pivotField dataField="1" numFmtI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Revenue" fld="13"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41779ED-343F-4564-8582-A61DED959CA1}" name="SalesbyRegionandCat._tb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7:G34" firstHeaderRow="1" firstDataRow="2" firstDataCol="1"/>
  <pivotFields count="2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axis="axisCol" showAll="0">
      <items count="6">
        <item x="4"/>
        <item x="3"/>
        <item x="2"/>
        <item x="0"/>
        <item x="1"/>
        <item t="default"/>
      </items>
    </pivotField>
    <pivotField axis="axisRow" showAll="0">
      <items count="6">
        <item x="3"/>
        <item x="1"/>
        <item x="0"/>
        <item x="2"/>
        <item x="4"/>
        <item t="default"/>
      </items>
    </pivotField>
    <pivotField showAll="0"/>
    <pivotField showAll="0"/>
    <pivotField dataField="1" numFmtI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i>
    <i>
      <x v="1"/>
    </i>
    <i>
      <x v="2"/>
    </i>
    <i>
      <x v="3"/>
    </i>
    <i>
      <x v="4"/>
    </i>
    <i t="grand">
      <x/>
    </i>
  </rowItems>
  <colFields count="1">
    <field x="9"/>
  </colFields>
  <colItems count="6">
    <i>
      <x/>
    </i>
    <i>
      <x v="1"/>
    </i>
    <i>
      <x v="2"/>
    </i>
    <i>
      <x v="3"/>
    </i>
    <i>
      <x v="4"/>
    </i>
    <i t="grand">
      <x/>
    </i>
  </colItems>
  <dataFields count="1">
    <dataField name="Sum of Total Amount" fld="13" baseField="0" baseItem="0" numFmtId="1"/>
  </dataFields>
  <chartFormats count="10">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6" format="10" series="1">
      <pivotArea type="data" outline="0" fieldPosition="0">
        <references count="2">
          <reference field="4294967294" count="1" selected="0">
            <x v="0"/>
          </reference>
          <reference field="9" count="1" selected="0">
            <x v="0"/>
          </reference>
        </references>
      </pivotArea>
    </chartFormat>
    <chartFormat chart="6" format="11" series="1">
      <pivotArea type="data" outline="0" fieldPosition="0">
        <references count="2">
          <reference field="4294967294" count="1" selected="0">
            <x v="0"/>
          </reference>
          <reference field="9" count="1" selected="0">
            <x v="1"/>
          </reference>
        </references>
      </pivotArea>
    </chartFormat>
    <chartFormat chart="6" format="12" series="1">
      <pivotArea type="data" outline="0" fieldPosition="0">
        <references count="2">
          <reference field="4294967294" count="1" selected="0">
            <x v="0"/>
          </reference>
          <reference field="9" count="1" selected="0">
            <x v="2"/>
          </reference>
        </references>
      </pivotArea>
    </chartFormat>
    <chartFormat chart="6" format="13" series="1">
      <pivotArea type="data" outline="0" fieldPosition="0">
        <references count="2">
          <reference field="4294967294" count="1" selected="0">
            <x v="0"/>
          </reference>
          <reference field="9" count="1" selected="0">
            <x v="3"/>
          </reference>
        </references>
      </pivotArea>
    </chartFormat>
    <chartFormat chart="6"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4DB8B30-A2D8-47D3-A373-9D0268BBEF31}" name="top3Region_tb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O9:P15" firstHeaderRow="1" firstDataRow="1" firstDataCol="1"/>
  <pivotFields count="2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measureFilter="1"/>
    <pivotField showAll="0">
      <items count="6">
        <item x="4"/>
        <item x="3"/>
        <item x="2"/>
        <item x="0"/>
        <item x="1"/>
        <item t="default"/>
      </items>
    </pivotField>
    <pivotField axis="axisRow" showAll="0" sortType="descending">
      <items count="6">
        <item x="4"/>
        <item x="2"/>
        <item x="0"/>
        <item x="1"/>
        <item x="3"/>
        <item t="default"/>
      </items>
    </pivotField>
    <pivotField showAll="0"/>
    <pivotField showAll="0"/>
    <pivotField dataField="1" numFmtI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i>
    <i>
      <x v="1"/>
    </i>
    <i>
      <x v="2"/>
    </i>
    <i>
      <x v="3"/>
    </i>
    <i>
      <x v="4"/>
    </i>
    <i t="grand">
      <x/>
    </i>
  </rowItems>
  <colItems count="1">
    <i/>
  </colItems>
  <dataFields count="1">
    <dataField name="Sum of Total Amount" fld="13" baseField="0" baseItem="0" numFmtId="1"/>
  </dataFields>
  <formats count="1">
    <format dxfId="59">
      <pivotArea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10" count="3">
              <x v="0"/>
              <x v="1"/>
              <x v="2"/>
            </reference>
          </references>
        </pivotArea>
      </pivotAreas>
    </conditionalFormat>
  </conditionalFormats>
  <pivotTableStyleInfo name="PivotStyleLight16" showRowHeaders="1" showColHeaders="1" showRowStripes="0" showColStripes="0" showLastColumn="1"/>
  <filters count="1">
    <filter fld="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F30CBDC-D6F9-4752-9352-982A24E66B97}" name="salessbyRegionCategory_tb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G16" firstHeaderRow="1" firstDataRow="2" firstDataCol="1" rowPageCount="1" colPageCount="1"/>
  <pivotFields count="2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axis="axisCol" showAll="0">
      <items count="6">
        <item x="4"/>
        <item x="3"/>
        <item x="2"/>
        <item x="0"/>
        <item x="1"/>
        <item t="default"/>
      </items>
    </pivotField>
    <pivotField axis="axisRow" showAll="0">
      <items count="6">
        <item x="3"/>
        <item x="1"/>
        <item x="0"/>
        <item x="2"/>
        <item x="4"/>
        <item t="default"/>
      </items>
    </pivotField>
    <pivotField showAll="0"/>
    <pivotField showAll="0"/>
    <pivotField dataField="1" numFmtId="1" showAll="0"/>
    <pivotField axis="axisPage"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i>
    <i>
      <x v="1"/>
    </i>
    <i>
      <x v="2"/>
    </i>
    <i>
      <x v="3"/>
    </i>
    <i>
      <x v="4"/>
    </i>
    <i t="grand">
      <x/>
    </i>
  </rowItems>
  <colFields count="1">
    <field x="9"/>
  </colFields>
  <colItems count="6">
    <i>
      <x/>
    </i>
    <i>
      <x v="1"/>
    </i>
    <i>
      <x v="2"/>
    </i>
    <i>
      <x v="3"/>
    </i>
    <i>
      <x v="4"/>
    </i>
    <i t="grand">
      <x/>
    </i>
  </colItems>
  <pageFields count="1">
    <pageField fld="14" hier="-1"/>
  </pageFields>
  <dataFields count="1">
    <dataField name="Sum of Total Amount" fld="13"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B8704ED-3D65-4E11-9B27-95CDA69AD1E6}"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gion">
  <location ref="I27:J33" firstHeaderRow="1" firstDataRow="1" firstDataCol="1"/>
  <pivotFields count="2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measureFilter="1"/>
    <pivotField axis="axisRow" showAll="0">
      <items count="6">
        <item x="4"/>
        <item x="3"/>
        <item x="2"/>
        <item x="0"/>
        <item x="1"/>
        <item t="default"/>
      </items>
    </pivotField>
    <pivotField showAll="0" sortType="descending">
      <items count="6">
        <item x="4"/>
        <item x="2"/>
        <item x="0"/>
        <item x="1"/>
        <item x="3"/>
        <item t="default"/>
      </items>
    </pivotField>
    <pivotField showAll="0"/>
    <pivotField showAll="0"/>
    <pivotField dataField="1" numFmtI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6">
    <i>
      <x/>
    </i>
    <i>
      <x v="1"/>
    </i>
    <i>
      <x v="2"/>
    </i>
    <i>
      <x v="3"/>
    </i>
    <i>
      <x v="4"/>
    </i>
    <i t="grand">
      <x/>
    </i>
  </rowItems>
  <colItems count="1">
    <i/>
  </colItems>
  <dataFields count="1">
    <dataField name="Sum of Total Amount" fld="13" baseField="0" baseItem="0" numFmtId="1"/>
  </dataFields>
  <formats count="1">
    <format dxfId="60">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9" count="1" selected="0">
            <x v="0"/>
          </reference>
        </references>
      </pivotArea>
    </chartFormat>
    <chartFormat chart="13" format="9">
      <pivotArea type="data" outline="0" fieldPosition="0">
        <references count="2">
          <reference field="4294967294" count="1" selected="0">
            <x v="0"/>
          </reference>
          <reference field="9" count="1" selected="0">
            <x v="1"/>
          </reference>
        </references>
      </pivotArea>
    </chartFormat>
    <chartFormat chart="13" format="10">
      <pivotArea type="data" outline="0" fieldPosition="0">
        <references count="2">
          <reference field="4294967294" count="1" selected="0">
            <x v="0"/>
          </reference>
          <reference field="9" count="1" selected="0">
            <x v="2"/>
          </reference>
        </references>
      </pivotArea>
    </chartFormat>
    <chartFormat chart="13" format="11">
      <pivotArea type="data" outline="0" fieldPosition="0">
        <references count="2">
          <reference field="4294967294" count="1" selected="0">
            <x v="0"/>
          </reference>
          <reference field="9" count="1" selected="0">
            <x v="3"/>
          </reference>
        </references>
      </pivotArea>
    </chartFormat>
    <chartFormat chart="13"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D884D49-952E-478D-8CD6-EA0CD6561734}" name="Avg.Deliverydays_tb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3">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items count="6">
        <item x="4"/>
        <item x="3"/>
        <item x="2"/>
        <item x="0"/>
        <item x="1"/>
        <item t="default"/>
      </items>
    </pivotField>
    <pivotField showAll="0">
      <items count="6">
        <item x="3"/>
        <item x="1"/>
        <item x="0"/>
        <item x="2"/>
        <item x="4"/>
        <item t="default"/>
      </items>
    </pivotField>
    <pivotField showAll="0"/>
    <pivotField showAll="0"/>
    <pivotField numFmtId="1" showAll="0"/>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Delivery Days" fld="19" subtotal="average" baseField="0" baseItem="0" numFmtId="164"/>
  </dataFields>
  <formats count="1">
    <format dxfId="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0700971-5236-4ECB-B3C4-ACA964D2A43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livery Status">
  <location ref="D37:H44" firstHeaderRow="1" firstDataRow="2" firstDataCol="1"/>
  <pivotFields count="23">
    <pivotField dataField="1"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items count="6">
        <item x="4"/>
        <item x="3"/>
        <item x="2"/>
        <item x="0"/>
        <item x="1"/>
        <item t="default"/>
      </items>
    </pivotField>
    <pivotField axis="axisRow" showAll="0" sortType="descending">
      <items count="6">
        <item x="4"/>
        <item x="2"/>
        <item x="0"/>
        <item x="1"/>
        <item x="3"/>
        <item t="default"/>
      </items>
    </pivotField>
    <pivotField showAll="0"/>
    <pivotField showAll="0"/>
    <pivotField numFmtId="1" showAll="0"/>
    <pivotField showAll="0">
      <items count="6">
        <item x="3"/>
        <item x="0"/>
        <item x="1"/>
        <item x="4"/>
        <item x="2"/>
        <item t="default"/>
      </items>
    </pivotField>
    <pivotField axis="axisCol" showAll="0">
      <items count="4">
        <item x="0"/>
        <item x="1"/>
        <item x="2"/>
        <item t="default"/>
      </items>
    </pivotField>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6">
    <i>
      <x/>
    </i>
    <i>
      <x v="1"/>
    </i>
    <i>
      <x v="2"/>
    </i>
    <i>
      <x v="3"/>
    </i>
    <i>
      <x v="4"/>
    </i>
    <i t="grand">
      <x/>
    </i>
  </rowItems>
  <colFields count="1">
    <field x="15"/>
  </colFields>
  <colItems count="4">
    <i>
      <x/>
    </i>
    <i>
      <x v="1"/>
    </i>
    <i>
      <x v="2"/>
    </i>
    <i t="grand">
      <x/>
    </i>
  </colItems>
  <dataFields count="1">
    <dataField name="Count of Order ID" fld="0" subtotal="count" baseField="0" baseItem="0"/>
  </dataFields>
  <formats count="1">
    <format dxfId="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FE334A2-4B3E-4EFD-BA81-58C58F74F00A}" name="total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livery Status">
  <location ref="L18:L19" firstHeaderRow="1" firstDataRow="1" firstDataCol="0" rowPageCount="1" colPageCount="1"/>
  <pivotFields count="23">
    <pivotField dataField="1" showAll="0"/>
    <pivotField axis="axisPage"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pivotField showAll="0"/>
    <pivotField showAll="0"/>
    <pivotField showAll="0"/>
    <pivotField showAll="0"/>
    <pivotField showAll="0">
      <items count="6">
        <item x="4"/>
        <item x="3"/>
        <item x="2"/>
        <item x="0"/>
        <item x="1"/>
        <item t="default"/>
      </items>
    </pivotField>
    <pivotField showAll="0" sortType="descending">
      <items count="6">
        <item x="4"/>
        <item x="2"/>
        <item x="0"/>
        <item x="1"/>
        <item x="3"/>
        <item t="default"/>
      </items>
    </pivotField>
    <pivotField showAll="0"/>
    <pivotField showAll="0"/>
    <pivotField numFmtI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pageFields count="1">
    <pageField fld="1" hier="-1"/>
  </pageFields>
  <dataFields count="1">
    <dataField name="Count of Order ID" fld="0" subtotal="count" baseField="0" baseItem="0"/>
  </dataFields>
  <formats count="1">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C56E543-D56E-436B-8061-9F0984F5CE34}" sourceName="Category">
  <pivotTables>
    <pivotTable tabId="11" name="SalesbyRegionandCat._tbl"/>
    <pivotTable tabId="11" name="Avg.Deliverydays_tbl"/>
    <pivotTable tabId="11" name="Avg.deliveryDaysRegion_tbl"/>
    <pivotTable tabId="11" name="DeliveruStatus_tbl"/>
    <pivotTable tabId="11" name="DeliveryPerformance_tbl"/>
    <pivotTable tabId="11" name="DeliveryStatusOrder_tbl"/>
    <pivotTable tabId="11" name="salessbyRegionCategory_tbl"/>
    <pivotTable tabId="11" name="Top1Product_ttbl"/>
    <pivotTable tabId="11" name="top3Region_tbl"/>
    <pivotTable tabId="11" name="totalOrders"/>
    <pivotTable tabId="11" name="TotalQuantity_tbl"/>
    <pivotTable tabId="11" name="TotalRevenue_tbl"/>
    <pivotTable tabId="11" name="PivotTable17"/>
    <pivotTable tabId="11" name="PivotTable1"/>
    <pivotTable tabId="11" name="PivotTable8"/>
    <pivotTable tabId="11" name="PivotTable9"/>
    <pivotTable tabId="11" name="PivotTable10"/>
    <pivotTable tabId="11" name="PivotTable11"/>
  </pivotTables>
  <data>
    <tabular pivotCacheId="2054557196">
      <items count="5">
        <i x="4" s="1"/>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A077BBB-5339-4DAB-95CD-94E2F787CCDD}" sourceName="Region">
  <pivotTables>
    <pivotTable tabId="11" name="SalesbyRegionandCat._tbl"/>
    <pivotTable tabId="11" name="Avg.Deliverydays_tbl"/>
    <pivotTable tabId="11" name="Avg.deliveryDaysRegion_tbl"/>
    <pivotTable tabId="11" name="DeliveruStatus_tbl"/>
    <pivotTable tabId="11" name="DeliveryPerformance_tbl"/>
    <pivotTable tabId="11" name="DeliveryStatusOrder_tbl"/>
    <pivotTable tabId="11" name="salessbyRegionCategory_tbl"/>
    <pivotTable tabId="11" name="Top1Product_ttbl"/>
    <pivotTable tabId="11" name="top3Region_tbl"/>
    <pivotTable tabId="11" name="totalOrders"/>
    <pivotTable tabId="11" name="TotalQuantity_tbl"/>
    <pivotTable tabId="11" name="TotalRevenue_tbl"/>
    <pivotTable tabId="11" name="PivotTable17"/>
    <pivotTable tabId="11" name="PivotTable1"/>
    <pivotTable tabId="11" name="PivotTable8"/>
    <pivotTable tabId="11" name="PivotTable9"/>
    <pivotTable tabId="11" name="PivotTable10"/>
    <pivotTable tabId="11" name="PivotTable11"/>
  </pivotTables>
  <data>
    <tabular pivotCacheId="2054557196">
      <items count="5">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C99C23E1-9D5A-4771-8FC8-670DC169AFEA}" sourceName="Payment Method">
  <pivotTables>
    <pivotTable tabId="11" name="SalesbyRegionandCat._tbl"/>
    <pivotTable tabId="11" name="Avg.Deliverydays_tbl"/>
    <pivotTable tabId="11" name="Avg.deliveryDaysRegion_tbl"/>
    <pivotTable tabId="11" name="DeliveruStatus_tbl"/>
    <pivotTable tabId="11" name="DeliveryPerformance_tbl"/>
    <pivotTable tabId="11" name="DeliveryStatusOrder_tbl"/>
    <pivotTable tabId="11" name="salessbyRegionCategory_tbl"/>
    <pivotTable tabId="11" name="Top1Product_ttbl"/>
    <pivotTable tabId="11" name="top3Region_tbl"/>
    <pivotTable tabId="11" name="totalOrders"/>
    <pivotTable tabId="11" name="TotalQuantity_tbl"/>
    <pivotTable tabId="11" name="TotalRevenue_tbl"/>
    <pivotTable tabId="11" name="PivotTable17"/>
    <pivotTable tabId="11" name="PivotTable1"/>
    <pivotTable tabId="11" name="PivotTable8"/>
    <pivotTable tabId="11" name="PivotTable9"/>
    <pivotTable tabId="11" name="PivotTable10"/>
    <pivotTable tabId="11" name="PivotTable11"/>
  </pivotTables>
  <data>
    <tabular pivotCacheId="2054557196">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1" xr10:uid="{16A100BD-93EB-4F79-BF82-E19EA9454E71}" sourceName="Delivery Status">
  <pivotTables>
    <pivotTable tabId="11" name="SalesbyRegionandCat._tbl"/>
    <pivotTable tabId="11" name="Avg.Deliverydays_tbl"/>
    <pivotTable tabId="11" name="Avg.deliveryDaysRegion_tbl"/>
    <pivotTable tabId="11" name="DeliveruStatus_tbl"/>
    <pivotTable tabId="11" name="DeliveryPerformance_tbl"/>
    <pivotTable tabId="11" name="DeliveryStatusOrder_tbl"/>
    <pivotTable tabId="11" name="salessbyRegionCategory_tbl"/>
    <pivotTable tabId="11" name="Top1Product_ttbl"/>
    <pivotTable tabId="11" name="top3Region_tbl"/>
    <pivotTable tabId="11" name="totalOrders"/>
    <pivotTable tabId="11" name="TotalQuantity_tbl"/>
    <pivotTable tabId="11" name="TotalRevenue_tbl"/>
    <pivotTable tabId="11" name="PivotTable17"/>
    <pivotTable tabId="11" name="PivotTable1"/>
    <pivotTable tabId="11" name="PivotTable8"/>
    <pivotTable tabId="11" name="PivotTable9"/>
    <pivotTable tabId="11" name="PivotTable10"/>
  </pivotTables>
  <data>
    <tabular pivotCacheId="2054557196">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1" xr10:uid="{48A5DB83-F788-48EE-A89E-9C20E17503DA}" sourceName="Months (Order Date)">
  <pivotTables>
    <pivotTable tabId="11" name="SalesbyRegionandCat._tbl"/>
    <pivotTable tabId="11" name="Avg.Deliverydays_tbl"/>
    <pivotTable tabId="11" name="Avg.deliveryDaysRegion_tbl"/>
    <pivotTable tabId="11" name="DeliveruStatus_tbl"/>
    <pivotTable tabId="11" name="DeliveryPerformance_tbl"/>
    <pivotTable tabId="11" name="DeliveryStatusOrder_tbl"/>
    <pivotTable tabId="11" name="salessbyRegionCategory_tbl"/>
    <pivotTable tabId="11" name="Top1Product_ttbl"/>
    <pivotTable tabId="11" name="top3Region_tbl"/>
    <pivotTable tabId="11" name="totalOrders"/>
    <pivotTable tabId="11" name="TotalQuantity_tbl"/>
    <pivotTable tabId="11" name="TotalRevenue_tbl"/>
    <pivotTable tabId="11" name="PivotTable17"/>
    <pivotTable tabId="11" name="PivotTable1"/>
    <pivotTable tabId="11" name="PivotTable8"/>
    <pivotTable tabId="11" name="PivotTable9"/>
    <pivotTable tabId="11" name="PivotTable10"/>
  </pivotTables>
  <data>
    <tabular pivotCacheId="2054557196">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EFC4791-7C87-447E-A584-05D537A71A1F}" cache="Slicer_Category1" caption="Category" columnCount="5" style="SlicerStyleOther1" rowHeight="241300"/>
  <slicer name="Region 1" xr10:uid="{11ADBA4B-34A8-44D6-B5D5-EB8010427F13}" cache="Slicer_Region1" caption="Region" style="SlicerStyleOther1" rowHeight="241300"/>
  <slicer name="Payment Method 1" xr10:uid="{324E1CFF-9FCA-4BAE-86D1-79FBA65A108F}" cache="Slicer_Payment_Method1" caption="Payment Method" style="SlicerStyleOther1" rowHeight="241300"/>
  <slicer name="Delivery Status 1" xr10:uid="{B0A1A8CC-1034-4495-933A-04CC48E9A4AF}" cache="Slicer_Delivery_Status1" caption="Delivery Status" columnCount="3" style="SlicerStyleOther1" rowHeight="241300"/>
  <slicer name="Months (Order Date) 1" xr10:uid="{7E084666-ED4F-4956-9CF3-1956527A9315}" cache="Slicer_Months__Order_Date1" caption="Months (Order Date)" columnCount="3" style="SlicerStyleOther1"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046B1B-4CF1-4382-B77D-11ADC01307B7}" name="Table5" displayName="Table5" ref="A1:U101" totalsRowShown="0" headerRowDxfId="48" dataDxfId="47" tableBorderDxfId="46">
  <autoFilter ref="A1:U101" xr:uid="{5B046B1B-4CF1-4382-B77D-11ADC01307B7}"/>
  <tableColumns count="21">
    <tableColumn id="1" xr3:uid="{573019B2-C173-40B9-B1D7-B0182AA44B26}" name="Order ID" dataDxfId="45"/>
    <tableColumn id="2" xr3:uid="{72920553-7364-4A73-83FE-2AF3E07324B1}" name="Order Date" dataDxfId="44"/>
    <tableColumn id="3" xr3:uid="{603C353D-0EBE-4BDA-8E5D-5EEEDF1003CB}" name="Delivery Date" dataDxfId="43"/>
    <tableColumn id="4" xr3:uid="{0253A009-BF83-4CA4-8944-C13E4DA43A25}" name="Cancel Date" dataDxfId="42"/>
    <tableColumn id="5" xr3:uid="{A6C3C621-D80B-4953-A89B-1A07C86760E9}" name="Customer ID" dataDxfId="41"/>
    <tableColumn id="6" xr3:uid="{E371FD88-7B13-4767-802A-C4F5EBC16997}" name="Customer Name" dataDxfId="40">
      <calculatedColumnFormula>_xlfn.XLOOKUP(Table5[[#This Row],[Customer ID]],Table4[Customer ID],Table4[Customer Name],"NA",0)</calculatedColumnFormula>
    </tableColumn>
    <tableColumn id="7" xr3:uid="{515084D0-9A76-4995-9F9B-E6A54E9C1143}" name="Customer Type" dataDxfId="39">
      <calculatedColumnFormula>_xlfn.XLOOKUP(Table5[[#This Row],[Customer ID]],Table4[Customer ID],Table4[Customer Type],"NA",0)</calculatedColumnFormula>
    </tableColumn>
    <tableColumn id="8" xr3:uid="{35028516-7920-4286-92B6-C48C3F1B8696}" name="Product ID" dataDxfId="38"/>
    <tableColumn id="9" xr3:uid="{D9AC1BDB-1D1F-4F6A-B9F3-4A7C205DBE4F}" name="Product Name" dataDxfId="37">
      <calculatedColumnFormula>_xlfn.XLOOKUP(Table5[[#This Row],[Product ID]],Table2[Product ID],Table2[Product Name],"NA",0)</calculatedColumnFormula>
    </tableColumn>
    <tableColumn id="10" xr3:uid="{4D63C79C-7C00-497A-801A-5DECBB087C2A}" name="Category" dataDxfId="36">
      <calculatedColumnFormula>_xlfn.XLOOKUP(Table5[[#This Row],[Product ID]],Table2[Product ID],Table2[Category],"NA",0)</calculatedColumnFormula>
    </tableColumn>
    <tableColumn id="11" xr3:uid="{67A5BDF0-4601-4786-936E-AA2A6157A328}" name="Region" dataDxfId="35"/>
    <tableColumn id="12" xr3:uid="{70A820A3-F704-4CAD-B3D0-BBAE6B5AD192}" name="Sale Price/Unit" dataDxfId="34"/>
    <tableColumn id="13" xr3:uid="{1C97262E-2E9E-4949-9053-D3499208489E}" name="Quantity" dataDxfId="33"/>
    <tableColumn id="14" xr3:uid="{8888D056-1EBC-4CC3-A4C6-AFF52E47BE5A}" name="Total Amount" dataDxfId="32"/>
    <tableColumn id="15" xr3:uid="{451FE7E0-DFE0-4584-B1D0-9922ED03445A}" name="Payment Method" dataDxfId="31"/>
    <tableColumn id="16" xr3:uid="{2BF8120C-4E5F-413B-B4AE-4715924B0619}" name="Delivery Status" dataDxfId="30"/>
    <tableColumn id="17" xr3:uid="{405BCB62-3DED-4626-B985-BEF0EC34F411}" name="Fulfillment Partner" dataDxfId="29"/>
    <tableColumn id="18" xr3:uid="{24DB8DD3-C46E-4CF9-AD87-3E25376551E5}" name="Order Flag" dataDxfId="28">
      <calculatedColumnFormula>IF(OR(Table5[[#This Row],[Delivery Status]]="Cancelled",Table5[[#This Row],[Cancel Date]]&lt;&gt;""),"Cancelled","Active")</calculatedColumnFormula>
    </tableColumn>
    <tableColumn id="19" xr3:uid="{31E48B19-3249-4EB3-8415-97ED49D39643}" name="Delivery Performance" dataDxfId="27">
      <calculatedColumnFormula>IF(Table5[[#This Row],[Delivery Status]]&lt;&gt;"Delivered",
"Not Delivered",
IF(Table5[[#This Row],[Delivery Date]]-Table5[[#This Row],[Order Date]]&lt;=2,"Fast","Slow")
)</calculatedColumnFormula>
    </tableColumn>
    <tableColumn id="20" xr3:uid="{E23E6B3A-79F9-4F82-8C53-E0B00185B0B9}" name="Delivery Days" dataDxfId="26">
      <calculatedColumnFormula>IF(Table5[[#This Row],[Delivery Status]]="Delivered",
Table5[[#This Row],[Delivery Date]]-Table5[[#This Row],[Order Date]],
"")</calculatedColumnFormula>
    </tableColumn>
    <tableColumn id="21" xr3:uid="{14A2ECB9-D63B-4954-8F12-D01E143F67A2}" name="Target Sales" dataDxfId="25">
      <calculatedColumnFormula>_xlfn.XLOOKUP(Table5[[#This Row],[Region]],Table3[Region],Table3[Sales Target],"NA",0)</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2EDE4B-2F2D-47BB-8706-4883AAFB99B8}" name="Table3" displayName="Table3" ref="A1:B6" totalsRowShown="0" headerRowDxfId="24" headerRowBorderDxfId="23" tableBorderDxfId="22" totalsRowBorderDxfId="21">
  <autoFilter ref="A1:B6" xr:uid="{012EDE4B-2F2D-47BB-8706-4883AAFB99B8}"/>
  <tableColumns count="2">
    <tableColumn id="1" xr3:uid="{454AA21C-5EDB-418F-840F-32B64560D877}" name="Region" dataDxfId="20"/>
    <tableColumn id="2" xr3:uid="{5D29A6F1-39BD-4E28-A687-8510D4839D6F}" name="Sales Target" dataDxfId="19"/>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F4B600-65BE-416E-920F-5C9B083CDA96}" name="Table4" displayName="Table4" ref="A1:E50" totalsRowShown="0" headerRowDxfId="18" dataDxfId="16" headerRowBorderDxfId="17" tableBorderDxfId="15" totalsRowBorderDxfId="14">
  <autoFilter ref="A1:E50" xr:uid="{E5F4B600-65BE-416E-920F-5C9B083CDA96}"/>
  <tableColumns count="5">
    <tableColumn id="1" xr3:uid="{17E1653D-9DD3-41CD-8F29-B04DCDD1ACA6}" name="Customer ID" dataDxfId="13"/>
    <tableColumn id="2" xr3:uid="{53425C59-5F14-4E1F-9E61-4550B8E2CA96}" name="Customer Name" dataDxfId="12"/>
    <tableColumn id="3" xr3:uid="{6051649B-BDA8-4BAF-A827-2CE894113E52}" name="Customer Type" dataDxfId="11"/>
    <tableColumn id="4" xr3:uid="{043C178D-AB3A-420E-922A-426E402DA0E7}" name="City" dataDxfId="10"/>
    <tableColumn id="5" xr3:uid="{A748D8AE-CC5F-4071-83C7-3CA4871649BD}" name="State" dataDxfId="9"/>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BC39C1-9585-4D00-B8EE-91DFBC1862FE}" name="Table2" displayName="Table2" ref="A1:E23" totalsRowShown="0" headerRowDxfId="8" headerRowBorderDxfId="7" tableBorderDxfId="6" totalsRowBorderDxfId="5">
  <autoFilter ref="A1:E23" xr:uid="{21BC39C1-9585-4D00-B8EE-91DFBC1862FE}"/>
  <tableColumns count="5">
    <tableColumn id="1" xr3:uid="{DEC71449-8437-4696-A3EB-1C6913E9F35D}" name="Product ID" dataDxfId="4"/>
    <tableColumn id="2" xr3:uid="{AEDA3DBD-C4E4-45AB-ABF2-111993B6F3B4}" name="Product Name" dataDxfId="3"/>
    <tableColumn id="3" xr3:uid="{73847626-FCB8-4EFE-AE64-37249B54BB44}" name="Category" dataDxfId="2"/>
    <tableColumn id="4" xr3:uid="{E45D7963-C014-47C4-8AE9-9D8E6B6BAEF3}" name="Cost Price" dataDxfId="1"/>
    <tableColumn id="5" xr3:uid="{9B812F51-82DA-4745-98B6-C6038CEEEB44}" name="Description" dataDxfId="0"/>
  </tableColumns>
  <tableStyleInfo name="TableStyleLight1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AB78D-4A7E-43B7-B014-4BE389A01615}">
  <dimension ref="A1"/>
  <sheetViews>
    <sheetView showGridLines="0" tabSelected="1" zoomScaleNormal="100" workbookViewId="0">
      <selection activeCell="AF30" sqref="AF30"/>
    </sheetView>
  </sheetViews>
  <sheetFormatPr defaultRowHeight="15" x14ac:dyDescent="0.25"/>
  <cols>
    <col min="1" max="16384" width="9.140625" style="3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2B5E0-5133-42DA-A11E-2205908D11BF}">
  <dimension ref="A1:A26"/>
  <sheetViews>
    <sheetView workbookViewId="0">
      <selection activeCell="A11" sqref="A11"/>
    </sheetView>
  </sheetViews>
  <sheetFormatPr defaultRowHeight="15" x14ac:dyDescent="0.25"/>
  <cols>
    <col min="1" max="1" width="122" customWidth="1"/>
  </cols>
  <sheetData>
    <row r="1" spans="1:1" ht="26.25" x14ac:dyDescent="0.25">
      <c r="A1" s="42" t="s">
        <v>343</v>
      </c>
    </row>
    <row r="3" spans="1:1" ht="18" x14ac:dyDescent="0.25">
      <c r="A3" s="39" t="s">
        <v>333</v>
      </c>
    </row>
    <row r="5" spans="1:1" x14ac:dyDescent="0.25">
      <c r="A5" s="40" t="s">
        <v>334</v>
      </c>
    </row>
    <row r="6" spans="1:1" x14ac:dyDescent="0.25">
      <c r="A6" s="41" t="s">
        <v>335</v>
      </c>
    </row>
    <row r="8" spans="1:1" ht="18" x14ac:dyDescent="0.25">
      <c r="A8" s="39" t="s">
        <v>336</v>
      </c>
    </row>
    <row r="10" spans="1:1" x14ac:dyDescent="0.25">
      <c r="A10" s="40" t="s">
        <v>334</v>
      </c>
    </row>
    <row r="11" spans="1:1" x14ac:dyDescent="0.25">
      <c r="A11" s="41" t="s">
        <v>337</v>
      </c>
    </row>
    <row r="13" spans="1:1" ht="18" x14ac:dyDescent="0.25">
      <c r="A13" s="39" t="s">
        <v>338</v>
      </c>
    </row>
    <row r="15" spans="1:1" x14ac:dyDescent="0.25">
      <c r="A15" s="40" t="s">
        <v>334</v>
      </c>
    </row>
    <row r="16" spans="1:1" x14ac:dyDescent="0.25">
      <c r="A16" s="41" t="s">
        <v>344</v>
      </c>
    </row>
    <row r="18" spans="1:1" ht="18" x14ac:dyDescent="0.25">
      <c r="A18" s="39" t="s">
        <v>339</v>
      </c>
    </row>
    <row r="20" spans="1:1" x14ac:dyDescent="0.25">
      <c r="A20" s="40" t="s">
        <v>334</v>
      </c>
    </row>
    <row r="21" spans="1:1" x14ac:dyDescent="0.25">
      <c r="A21" s="41" t="s">
        <v>340</v>
      </c>
    </row>
    <row r="23" spans="1:1" ht="18" x14ac:dyDescent="0.25">
      <c r="A23" s="39" t="s">
        <v>341</v>
      </c>
    </row>
    <row r="25" spans="1:1" x14ac:dyDescent="0.25">
      <c r="A25" s="40" t="s">
        <v>334</v>
      </c>
    </row>
    <row r="26" spans="1:1" x14ac:dyDescent="0.25">
      <c r="A26" s="41" t="s">
        <v>342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66A7-1D2B-4E97-8E91-4E8B72D5E262}">
  <dimension ref="A3:Q44"/>
  <sheetViews>
    <sheetView topLeftCell="A10" zoomScaleNormal="100" workbookViewId="0">
      <selection activeCell="L42" sqref="L42"/>
    </sheetView>
  </sheetViews>
  <sheetFormatPr defaultRowHeight="15" x14ac:dyDescent="0.25"/>
  <cols>
    <col min="1" max="1" width="16.140625" bestFit="1" customWidth="1"/>
    <col min="2" max="2" width="16.5703125" bestFit="1" customWidth="1"/>
    <col min="3" max="3" width="15.42578125" bestFit="1" customWidth="1"/>
    <col min="4" max="4" width="7.85546875" bestFit="1" customWidth="1"/>
    <col min="5" max="5" width="16.7109375" bestFit="1" customWidth="1"/>
    <col min="6" max="6" width="6" bestFit="1" customWidth="1"/>
    <col min="7" max="10" width="11.28515625" bestFit="1" customWidth="1"/>
    <col min="11" max="11" width="19.85546875" bestFit="1" customWidth="1"/>
    <col min="12" max="12" width="11.7109375" bestFit="1" customWidth="1"/>
    <col min="13" max="13" width="19.85546875" bestFit="1" customWidth="1"/>
    <col min="14" max="14" width="5" bestFit="1" customWidth="1"/>
    <col min="15" max="15" width="11.28515625" bestFit="1" customWidth="1"/>
    <col min="16" max="17" width="11.5703125" bestFit="1" customWidth="1"/>
    <col min="18" max="18" width="4.42578125" bestFit="1" customWidth="1"/>
    <col min="19" max="22" width="5" bestFit="1" customWidth="1"/>
    <col min="23" max="23" width="11.28515625" bestFit="1" customWidth="1"/>
  </cols>
  <sheetData>
    <row r="3" spans="1:16" x14ac:dyDescent="0.25">
      <c r="A3" t="s">
        <v>326</v>
      </c>
      <c r="C3" t="s">
        <v>319</v>
      </c>
      <c r="E3" t="s">
        <v>320</v>
      </c>
      <c r="I3" s="35" t="s">
        <v>325</v>
      </c>
      <c r="L3" s="35" t="s">
        <v>328</v>
      </c>
      <c r="O3" s="25" t="s">
        <v>195</v>
      </c>
      <c r="P3" t="s">
        <v>318</v>
      </c>
    </row>
    <row r="4" spans="1:16" x14ac:dyDescent="0.25">
      <c r="A4" s="8">
        <v>35258</v>
      </c>
      <c r="C4">
        <v>312</v>
      </c>
      <c r="E4" s="7">
        <v>3.7647058823529411</v>
      </c>
      <c r="I4" s="27">
        <f>IFERROR($E$39/$H$39,0)</f>
        <v>0.34782608695652173</v>
      </c>
      <c r="L4" s="36">
        <f>IFERROR($M$10/($M$11+$M$10),0)</f>
        <v>0.14285714285714285</v>
      </c>
      <c r="O4" s="26" t="s">
        <v>199</v>
      </c>
      <c r="P4" s="6">
        <v>9644</v>
      </c>
    </row>
    <row r="5" spans="1:16" x14ac:dyDescent="0.25">
      <c r="O5" s="26" t="s">
        <v>316</v>
      </c>
      <c r="P5" s="6">
        <v>9644</v>
      </c>
    </row>
    <row r="7" spans="1:16" x14ac:dyDescent="0.25">
      <c r="A7" s="25" t="s">
        <v>10</v>
      </c>
      <c r="B7" t="s">
        <v>321</v>
      </c>
    </row>
    <row r="9" spans="1:16" x14ac:dyDescent="0.25">
      <c r="A9" s="25" t="s">
        <v>318</v>
      </c>
      <c r="B9" s="25" t="s">
        <v>317</v>
      </c>
      <c r="I9" s="25" t="s">
        <v>11</v>
      </c>
      <c r="J9" t="s">
        <v>318</v>
      </c>
      <c r="L9" s="25" t="s">
        <v>312</v>
      </c>
      <c r="M9" t="s">
        <v>322</v>
      </c>
      <c r="O9" s="25" t="s">
        <v>6</v>
      </c>
      <c r="P9" t="s">
        <v>318</v>
      </c>
    </row>
    <row r="10" spans="1:16" x14ac:dyDescent="0.25">
      <c r="A10" s="25" t="s">
        <v>315</v>
      </c>
      <c r="B10" t="s">
        <v>218</v>
      </c>
      <c r="C10" t="s">
        <v>200</v>
      </c>
      <c r="D10" t="s">
        <v>211</v>
      </c>
      <c r="E10" t="s">
        <v>206</v>
      </c>
      <c r="F10" t="s">
        <v>203</v>
      </c>
      <c r="G10" t="s">
        <v>316</v>
      </c>
      <c r="I10" s="26" t="s">
        <v>18</v>
      </c>
      <c r="J10" s="8">
        <v>6961</v>
      </c>
      <c r="L10" s="26" t="s">
        <v>324</v>
      </c>
      <c r="M10" s="8">
        <v>11</v>
      </c>
      <c r="O10" s="26" t="s">
        <v>50</v>
      </c>
      <c r="P10" s="8">
        <v>8359</v>
      </c>
    </row>
    <row r="11" spans="1:16" x14ac:dyDescent="0.25">
      <c r="A11" s="26" t="s">
        <v>45</v>
      </c>
      <c r="B11" s="8">
        <v>84</v>
      </c>
      <c r="C11" s="8">
        <v>2662</v>
      </c>
      <c r="D11" s="8">
        <v>210</v>
      </c>
      <c r="E11" s="8">
        <v>2063</v>
      </c>
      <c r="F11" s="8">
        <v>437</v>
      </c>
      <c r="G11" s="8">
        <v>5456</v>
      </c>
      <c r="I11" s="26" t="s">
        <v>25</v>
      </c>
      <c r="J11" s="8">
        <v>13656</v>
      </c>
      <c r="L11" s="26" t="s">
        <v>314</v>
      </c>
      <c r="M11" s="8">
        <v>66</v>
      </c>
      <c r="O11" s="26" t="s">
        <v>28</v>
      </c>
      <c r="P11" s="8">
        <v>7317</v>
      </c>
    </row>
    <row r="12" spans="1:16" x14ac:dyDescent="0.25">
      <c r="A12" s="26" t="s">
        <v>23</v>
      </c>
      <c r="B12" s="8">
        <v>394</v>
      </c>
      <c r="C12" s="8">
        <v>365</v>
      </c>
      <c r="D12" s="8">
        <v>711</v>
      </c>
      <c r="E12" s="8">
        <v>741</v>
      </c>
      <c r="F12" s="8">
        <v>1424</v>
      </c>
      <c r="G12" s="8">
        <v>3635</v>
      </c>
      <c r="I12" s="26" t="s">
        <v>29</v>
      </c>
      <c r="J12" s="8">
        <v>14641</v>
      </c>
      <c r="L12" s="26" t="s">
        <v>323</v>
      </c>
      <c r="M12" s="8">
        <v>23</v>
      </c>
      <c r="O12" s="26" t="s">
        <v>16</v>
      </c>
      <c r="P12" s="8">
        <v>10491</v>
      </c>
    </row>
    <row r="13" spans="1:16" x14ac:dyDescent="0.25">
      <c r="A13" s="26" t="s">
        <v>16</v>
      </c>
      <c r="B13" s="8">
        <v>464</v>
      </c>
      <c r="C13" s="8">
        <v>6522</v>
      </c>
      <c r="D13" s="8">
        <v>788</v>
      </c>
      <c r="E13" s="8">
        <v>2131</v>
      </c>
      <c r="F13" s="8">
        <v>586</v>
      </c>
      <c r="G13" s="8">
        <v>10491</v>
      </c>
      <c r="I13" s="26" t="s">
        <v>316</v>
      </c>
      <c r="J13" s="8">
        <v>35258</v>
      </c>
      <c r="L13" s="26" t="s">
        <v>316</v>
      </c>
      <c r="M13" s="8">
        <v>100</v>
      </c>
      <c r="O13" s="26" t="s">
        <v>23</v>
      </c>
      <c r="P13" s="8">
        <v>3635</v>
      </c>
    </row>
    <row r="14" spans="1:16" x14ac:dyDescent="0.25">
      <c r="A14" s="26" t="s">
        <v>28</v>
      </c>
      <c r="B14" s="8">
        <v>423</v>
      </c>
      <c r="C14" s="8">
        <v>3938</v>
      </c>
      <c r="D14" s="8">
        <v>1032</v>
      </c>
      <c r="E14" s="8">
        <v>1881</v>
      </c>
      <c r="F14" s="8">
        <v>43</v>
      </c>
      <c r="G14" s="8">
        <v>7317</v>
      </c>
      <c r="O14" s="26" t="s">
        <v>45</v>
      </c>
      <c r="P14" s="8">
        <v>5456</v>
      </c>
    </row>
    <row r="15" spans="1:16" x14ac:dyDescent="0.25">
      <c r="A15" s="26" t="s">
        <v>50</v>
      </c>
      <c r="B15" s="8">
        <v>350</v>
      </c>
      <c r="C15" s="8">
        <v>1722</v>
      </c>
      <c r="D15" s="8">
        <v>1131</v>
      </c>
      <c r="E15" s="8">
        <v>4135</v>
      </c>
      <c r="F15" s="8">
        <v>1021</v>
      </c>
      <c r="G15" s="8">
        <v>8359</v>
      </c>
      <c r="O15" s="26" t="s">
        <v>316</v>
      </c>
      <c r="P15" s="8">
        <v>35258</v>
      </c>
    </row>
    <row r="16" spans="1:16" x14ac:dyDescent="0.25">
      <c r="A16" s="26" t="s">
        <v>316</v>
      </c>
      <c r="B16" s="8">
        <v>1715</v>
      </c>
      <c r="C16" s="8">
        <v>15209</v>
      </c>
      <c r="D16" s="8">
        <v>3872</v>
      </c>
      <c r="E16" s="8">
        <v>10951</v>
      </c>
      <c r="F16" s="8">
        <v>3511</v>
      </c>
      <c r="G16" s="8">
        <v>35258</v>
      </c>
      <c r="I16" s="25" t="s">
        <v>11</v>
      </c>
      <c r="J16" t="s">
        <v>322</v>
      </c>
      <c r="L16" s="25" t="s">
        <v>1</v>
      </c>
      <c r="M16" t="s">
        <v>321</v>
      </c>
      <c r="O16" s="25" t="s">
        <v>6</v>
      </c>
      <c r="P16" t="s">
        <v>320</v>
      </c>
    </row>
    <row r="17" spans="1:17" x14ac:dyDescent="0.25">
      <c r="I17" s="26" t="s">
        <v>18</v>
      </c>
      <c r="J17" s="8">
        <v>30</v>
      </c>
      <c r="O17" s="26" t="s">
        <v>45</v>
      </c>
      <c r="P17" s="8">
        <v>4.2</v>
      </c>
    </row>
    <row r="18" spans="1:17" x14ac:dyDescent="0.25">
      <c r="I18" s="26" t="s">
        <v>25</v>
      </c>
      <c r="J18" s="8">
        <v>34</v>
      </c>
      <c r="L18" t="s">
        <v>322</v>
      </c>
      <c r="O18" s="26" t="s">
        <v>23</v>
      </c>
      <c r="P18" s="8">
        <v>4.25</v>
      </c>
    </row>
    <row r="19" spans="1:17" x14ac:dyDescent="0.25">
      <c r="A19" s="25" t="s">
        <v>11</v>
      </c>
      <c r="B19" t="s">
        <v>329</v>
      </c>
      <c r="E19" s="25" t="s">
        <v>250</v>
      </c>
      <c r="F19" t="s">
        <v>332</v>
      </c>
      <c r="I19" s="26" t="s">
        <v>29</v>
      </c>
      <c r="J19" s="8">
        <v>36</v>
      </c>
      <c r="L19" s="8">
        <v>100</v>
      </c>
      <c r="O19" s="26" t="s">
        <v>16</v>
      </c>
      <c r="P19" s="8">
        <v>3.625</v>
      </c>
    </row>
    <row r="20" spans="1:17" x14ac:dyDescent="0.25">
      <c r="A20" s="26" t="s">
        <v>18</v>
      </c>
      <c r="B20" s="8">
        <v>30</v>
      </c>
      <c r="E20" s="26" t="s">
        <v>254</v>
      </c>
      <c r="F20" s="8">
        <v>10791</v>
      </c>
      <c r="I20" s="26" t="s">
        <v>316</v>
      </c>
      <c r="J20" s="8">
        <v>100</v>
      </c>
      <c r="O20" s="26" t="s">
        <v>28</v>
      </c>
      <c r="P20" s="8">
        <v>3.3333333333333335</v>
      </c>
    </row>
    <row r="21" spans="1:17" x14ac:dyDescent="0.25">
      <c r="A21" s="26" t="s">
        <v>25</v>
      </c>
      <c r="B21" s="8">
        <v>34</v>
      </c>
      <c r="E21" s="26" t="s">
        <v>282</v>
      </c>
      <c r="F21" s="8">
        <v>11956</v>
      </c>
      <c r="O21" s="26" t="s">
        <v>50</v>
      </c>
      <c r="P21" s="8">
        <v>3.4285714285714284</v>
      </c>
    </row>
    <row r="22" spans="1:17" x14ac:dyDescent="0.25">
      <c r="A22" s="26" t="s">
        <v>29</v>
      </c>
      <c r="B22" s="8">
        <v>36</v>
      </c>
      <c r="E22" s="26" t="s">
        <v>327</v>
      </c>
      <c r="F22" s="8">
        <v>124</v>
      </c>
      <c r="O22" s="26" t="s">
        <v>316</v>
      </c>
      <c r="P22" s="8">
        <v>3.7647058823529411</v>
      </c>
    </row>
    <row r="23" spans="1:17" x14ac:dyDescent="0.25">
      <c r="A23" s="26" t="s">
        <v>316</v>
      </c>
      <c r="B23" s="8">
        <v>100</v>
      </c>
      <c r="E23" s="26" t="s">
        <v>258</v>
      </c>
      <c r="F23" s="8">
        <v>12387</v>
      </c>
    </row>
    <row r="24" spans="1:17" x14ac:dyDescent="0.25">
      <c r="E24" s="26" t="s">
        <v>316</v>
      </c>
      <c r="F24" s="8">
        <v>35258</v>
      </c>
    </row>
    <row r="27" spans="1:17" x14ac:dyDescent="0.25">
      <c r="A27" s="25" t="s">
        <v>318</v>
      </c>
      <c r="B27" s="25" t="s">
        <v>317</v>
      </c>
      <c r="I27" s="25" t="s">
        <v>6</v>
      </c>
      <c r="J27" t="s">
        <v>318</v>
      </c>
      <c r="L27" s="25" t="s">
        <v>6</v>
      </c>
      <c r="M27" t="s">
        <v>318</v>
      </c>
    </row>
    <row r="28" spans="1:17" x14ac:dyDescent="0.25">
      <c r="A28" s="25" t="s">
        <v>315</v>
      </c>
      <c r="B28" t="s">
        <v>218</v>
      </c>
      <c r="C28" t="s">
        <v>200</v>
      </c>
      <c r="D28" t="s">
        <v>211</v>
      </c>
      <c r="E28" t="s">
        <v>206</v>
      </c>
      <c r="F28" t="s">
        <v>203</v>
      </c>
      <c r="G28" t="s">
        <v>316</v>
      </c>
      <c r="I28" s="26" t="s">
        <v>218</v>
      </c>
      <c r="J28" s="8">
        <v>1715</v>
      </c>
      <c r="L28" s="26" t="s">
        <v>41</v>
      </c>
      <c r="M28" s="8">
        <v>4719</v>
      </c>
    </row>
    <row r="29" spans="1:17" x14ac:dyDescent="0.25">
      <c r="A29" s="26" t="s">
        <v>45</v>
      </c>
      <c r="B29" s="8">
        <v>84</v>
      </c>
      <c r="C29" s="8">
        <v>2662</v>
      </c>
      <c r="D29" s="8">
        <v>210</v>
      </c>
      <c r="E29" s="8">
        <v>2063</v>
      </c>
      <c r="F29" s="8">
        <v>437</v>
      </c>
      <c r="G29" s="8">
        <v>5456</v>
      </c>
      <c r="I29" s="26" t="s">
        <v>200</v>
      </c>
      <c r="J29" s="8">
        <v>15209</v>
      </c>
      <c r="L29" s="26" t="s">
        <v>17</v>
      </c>
      <c r="M29" s="8">
        <v>6144</v>
      </c>
      <c r="O29" s="25" t="s">
        <v>6</v>
      </c>
      <c r="P29" t="s">
        <v>248</v>
      </c>
      <c r="Q29" t="s">
        <v>331</v>
      </c>
    </row>
    <row r="30" spans="1:17" x14ac:dyDescent="0.25">
      <c r="A30" s="26" t="s">
        <v>23</v>
      </c>
      <c r="B30" s="8">
        <v>394</v>
      </c>
      <c r="C30" s="8">
        <v>365</v>
      </c>
      <c r="D30" s="8">
        <v>711</v>
      </c>
      <c r="E30" s="8">
        <v>741</v>
      </c>
      <c r="F30" s="8">
        <v>1424</v>
      </c>
      <c r="G30" s="8">
        <v>3635</v>
      </c>
      <c r="I30" s="26" t="s">
        <v>211</v>
      </c>
      <c r="J30" s="8">
        <v>3872</v>
      </c>
      <c r="L30" s="26" t="s">
        <v>24</v>
      </c>
      <c r="M30" s="8">
        <v>9398</v>
      </c>
      <c r="O30" s="26" t="s">
        <v>50</v>
      </c>
      <c r="P30" s="8">
        <v>90750</v>
      </c>
      <c r="Q30" s="8">
        <v>8359</v>
      </c>
    </row>
    <row r="31" spans="1:17" x14ac:dyDescent="0.25">
      <c r="A31" s="26" t="s">
        <v>16</v>
      </c>
      <c r="B31" s="8">
        <v>464</v>
      </c>
      <c r="C31" s="8">
        <v>6522</v>
      </c>
      <c r="D31" s="8">
        <v>788</v>
      </c>
      <c r="E31" s="8">
        <v>2131</v>
      </c>
      <c r="F31" s="8">
        <v>586</v>
      </c>
      <c r="G31" s="8">
        <v>10491</v>
      </c>
      <c r="I31" s="26" t="s">
        <v>206</v>
      </c>
      <c r="J31" s="8">
        <v>10951</v>
      </c>
      <c r="L31" s="26" t="s">
        <v>46</v>
      </c>
      <c r="M31" s="8">
        <v>8348</v>
      </c>
      <c r="O31" s="26" t="s">
        <v>28</v>
      </c>
      <c r="P31" s="8">
        <v>91500</v>
      </c>
      <c r="Q31" s="8">
        <v>7317</v>
      </c>
    </row>
    <row r="32" spans="1:17" x14ac:dyDescent="0.25">
      <c r="A32" s="26" t="s">
        <v>28</v>
      </c>
      <c r="B32" s="8">
        <v>423</v>
      </c>
      <c r="C32" s="8">
        <v>3938</v>
      </c>
      <c r="D32" s="8">
        <v>1032</v>
      </c>
      <c r="E32" s="8">
        <v>1881</v>
      </c>
      <c r="F32" s="8">
        <v>43</v>
      </c>
      <c r="G32" s="8">
        <v>7317</v>
      </c>
      <c r="I32" s="26" t="s">
        <v>203</v>
      </c>
      <c r="J32" s="8">
        <v>3511</v>
      </c>
      <c r="L32" s="26" t="s">
        <v>33</v>
      </c>
      <c r="M32" s="8">
        <v>6649</v>
      </c>
      <c r="O32" s="26" t="s">
        <v>16</v>
      </c>
      <c r="P32" s="8">
        <v>105000</v>
      </c>
      <c r="Q32" s="8">
        <v>10491</v>
      </c>
    </row>
    <row r="33" spans="1:17" x14ac:dyDescent="0.25">
      <c r="A33" s="26" t="s">
        <v>50</v>
      </c>
      <c r="B33" s="8">
        <v>350</v>
      </c>
      <c r="C33" s="8">
        <v>1722</v>
      </c>
      <c r="D33" s="8">
        <v>1131</v>
      </c>
      <c r="E33" s="8">
        <v>4135</v>
      </c>
      <c r="F33" s="8">
        <v>1021</v>
      </c>
      <c r="G33" s="8">
        <v>8359</v>
      </c>
      <c r="I33" s="26" t="s">
        <v>316</v>
      </c>
      <c r="J33" s="8">
        <v>35258</v>
      </c>
      <c r="L33" s="26" t="s">
        <v>316</v>
      </c>
      <c r="M33" s="8">
        <v>35258</v>
      </c>
      <c r="O33" s="26" t="s">
        <v>23</v>
      </c>
      <c r="P33" s="8">
        <v>50500</v>
      </c>
      <c r="Q33" s="8">
        <v>3635</v>
      </c>
    </row>
    <row r="34" spans="1:17" x14ac:dyDescent="0.25">
      <c r="A34" s="26" t="s">
        <v>316</v>
      </c>
      <c r="B34" s="8">
        <v>1715</v>
      </c>
      <c r="C34" s="8">
        <v>15209</v>
      </c>
      <c r="D34" s="8">
        <v>3872</v>
      </c>
      <c r="E34" s="8">
        <v>10951</v>
      </c>
      <c r="F34" s="8">
        <v>3511</v>
      </c>
      <c r="G34" s="8">
        <v>35258</v>
      </c>
      <c r="O34" s="26" t="s">
        <v>45</v>
      </c>
      <c r="P34" s="8">
        <v>97500</v>
      </c>
      <c r="Q34" s="8">
        <v>5456</v>
      </c>
    </row>
    <row r="35" spans="1:17" x14ac:dyDescent="0.25">
      <c r="O35" s="26" t="s">
        <v>316</v>
      </c>
      <c r="P35" s="8">
        <v>105000</v>
      </c>
      <c r="Q35" s="8">
        <v>35258</v>
      </c>
    </row>
    <row r="37" spans="1:17" x14ac:dyDescent="0.25">
      <c r="A37" s="25" t="s">
        <v>6</v>
      </c>
      <c r="B37" t="s">
        <v>322</v>
      </c>
      <c r="D37" s="25" t="s">
        <v>322</v>
      </c>
      <c r="E37" s="25" t="s">
        <v>317</v>
      </c>
    </row>
    <row r="38" spans="1:17" x14ac:dyDescent="0.25">
      <c r="A38" s="26" t="s">
        <v>38</v>
      </c>
      <c r="B38" s="8">
        <v>29</v>
      </c>
      <c r="D38" s="25" t="s">
        <v>11</v>
      </c>
      <c r="E38" t="s">
        <v>18</v>
      </c>
      <c r="F38" t="s">
        <v>25</v>
      </c>
      <c r="G38" t="s">
        <v>29</v>
      </c>
      <c r="H38" t="s">
        <v>316</v>
      </c>
    </row>
    <row r="39" spans="1:17" x14ac:dyDescent="0.25">
      <c r="A39" s="26" t="s">
        <v>19</v>
      </c>
      <c r="B39" s="8">
        <v>21</v>
      </c>
      <c r="D39" s="26" t="s">
        <v>50</v>
      </c>
      <c r="E39" s="8">
        <v>8</v>
      </c>
      <c r="F39" s="8">
        <v>7</v>
      </c>
      <c r="G39" s="8">
        <v>8</v>
      </c>
      <c r="H39" s="8">
        <v>23</v>
      </c>
    </row>
    <row r="40" spans="1:17" x14ac:dyDescent="0.25">
      <c r="A40" s="26" t="s">
        <v>61</v>
      </c>
      <c r="B40" s="8">
        <v>15</v>
      </c>
      <c r="D40" s="26" t="s">
        <v>28</v>
      </c>
      <c r="E40" s="8">
        <v>4</v>
      </c>
      <c r="F40" s="8">
        <v>6</v>
      </c>
      <c r="G40" s="8">
        <v>10</v>
      </c>
      <c r="H40" s="8">
        <v>20</v>
      </c>
    </row>
    <row r="41" spans="1:17" x14ac:dyDescent="0.25">
      <c r="A41" s="26" t="s">
        <v>34</v>
      </c>
      <c r="B41" s="8">
        <v>21</v>
      </c>
      <c r="D41" s="26" t="s">
        <v>16</v>
      </c>
      <c r="E41" s="8">
        <v>10</v>
      </c>
      <c r="F41" s="8">
        <v>8</v>
      </c>
      <c r="G41" s="8">
        <v>7</v>
      </c>
      <c r="H41" s="8">
        <v>25</v>
      </c>
    </row>
    <row r="42" spans="1:17" x14ac:dyDescent="0.25">
      <c r="A42" s="26" t="s">
        <v>30</v>
      </c>
      <c r="B42" s="8">
        <v>14</v>
      </c>
      <c r="D42" s="26" t="s">
        <v>23</v>
      </c>
      <c r="E42" s="8">
        <v>3</v>
      </c>
      <c r="F42" s="8">
        <v>8</v>
      </c>
      <c r="G42" s="8">
        <v>7</v>
      </c>
      <c r="H42" s="8">
        <v>18</v>
      </c>
    </row>
    <row r="43" spans="1:17" x14ac:dyDescent="0.25">
      <c r="A43" s="26" t="s">
        <v>316</v>
      </c>
      <c r="B43" s="8">
        <v>100</v>
      </c>
      <c r="D43" s="26" t="s">
        <v>45</v>
      </c>
      <c r="E43" s="8">
        <v>5</v>
      </c>
      <c r="F43" s="8">
        <v>5</v>
      </c>
      <c r="G43" s="8">
        <v>4</v>
      </c>
      <c r="H43" s="8">
        <v>14</v>
      </c>
    </row>
    <row r="44" spans="1:17" x14ac:dyDescent="0.25">
      <c r="D44" s="26" t="s">
        <v>316</v>
      </c>
      <c r="E44" s="8">
        <v>30</v>
      </c>
      <c r="F44" s="8">
        <v>34</v>
      </c>
      <c r="G44" s="8">
        <v>36</v>
      </c>
      <c r="H44" s="8">
        <v>100</v>
      </c>
    </row>
  </sheetData>
  <conditionalFormatting pivot="1" sqref="P10:P1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2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C0D33-421C-457E-B82B-58EA4F53F807}">
  <dimension ref="A1:U101"/>
  <sheetViews>
    <sheetView workbookViewId="0">
      <selection activeCell="H2" sqref="H2"/>
    </sheetView>
  </sheetViews>
  <sheetFormatPr defaultRowHeight="15" x14ac:dyDescent="0.25"/>
  <cols>
    <col min="1" max="1" width="16.7109375" customWidth="1"/>
    <col min="2" max="2" width="15.42578125" customWidth="1"/>
    <col min="3" max="3" width="19.7109375" customWidth="1"/>
    <col min="4" max="4" width="14.28515625" customWidth="1"/>
    <col min="5" max="5" width="14" customWidth="1"/>
    <col min="6" max="6" width="17.42578125" customWidth="1"/>
    <col min="7" max="7" width="16.42578125" customWidth="1"/>
    <col min="8" max="8" width="12.28515625" customWidth="1"/>
    <col min="9" max="9" width="15.7109375" customWidth="1"/>
    <col min="10" max="10" width="11" customWidth="1"/>
    <col min="11" max="11" width="9.28515625" customWidth="1"/>
    <col min="12" max="12" width="16.42578125" customWidth="1"/>
    <col min="13" max="13" width="10.85546875" customWidth="1"/>
    <col min="14" max="14" width="15.140625" customWidth="1"/>
    <col min="15" max="15" width="18.5703125" customWidth="1"/>
    <col min="16" max="16" width="16.42578125" customWidth="1"/>
    <col min="17" max="17" width="20" customWidth="1"/>
    <col min="18" max="18" width="18.28515625" customWidth="1"/>
    <col min="19" max="19" width="28.85546875" customWidth="1"/>
    <col min="20" max="20" width="15.140625" customWidth="1"/>
  </cols>
  <sheetData>
    <row r="1" spans="1:21" x14ac:dyDescent="0.25">
      <c r="A1" s="32" t="s">
        <v>0</v>
      </c>
      <c r="B1" s="32" t="s">
        <v>1</v>
      </c>
      <c r="C1" s="32" t="s">
        <v>2</v>
      </c>
      <c r="D1" s="32" t="s">
        <v>3</v>
      </c>
      <c r="E1" s="32" t="s">
        <v>4</v>
      </c>
      <c r="F1" s="32" t="s">
        <v>249</v>
      </c>
      <c r="G1" s="32" t="s">
        <v>250</v>
      </c>
      <c r="H1" s="32" t="s">
        <v>5</v>
      </c>
      <c r="I1" s="32" t="s">
        <v>195</v>
      </c>
      <c r="J1" s="32" t="s">
        <v>196</v>
      </c>
      <c r="K1" s="32" t="s">
        <v>6</v>
      </c>
      <c r="L1" s="32" t="s">
        <v>7</v>
      </c>
      <c r="M1" s="32" t="s">
        <v>8</v>
      </c>
      <c r="N1" s="33" t="s">
        <v>9</v>
      </c>
      <c r="O1" s="32" t="s">
        <v>10</v>
      </c>
      <c r="P1" s="32" t="s">
        <v>11</v>
      </c>
      <c r="Q1" s="32" t="s">
        <v>12</v>
      </c>
      <c r="R1" s="32" t="s">
        <v>311</v>
      </c>
      <c r="S1" s="32" t="s">
        <v>312</v>
      </c>
      <c r="T1" s="34" t="s">
        <v>313</v>
      </c>
      <c r="U1" s="32" t="s">
        <v>330</v>
      </c>
    </row>
    <row r="2" spans="1:21" x14ac:dyDescent="0.25">
      <c r="A2" s="28" t="s">
        <v>13</v>
      </c>
      <c r="B2" s="29">
        <v>45291</v>
      </c>
      <c r="C2" s="29"/>
      <c r="D2" s="29">
        <v>45293</v>
      </c>
      <c r="E2" s="28" t="s">
        <v>14</v>
      </c>
      <c r="F2" s="28" t="str">
        <f>_xlfn.XLOOKUP(Table5[[#This Row],[Customer ID]],Table4[Customer ID],Table4[Customer Name],"NA",0)</f>
        <v>Zoe Mitchell</v>
      </c>
      <c r="G2" s="28" t="str">
        <f>_xlfn.XLOOKUP(Table5[[#This Row],[Customer ID]],Table4[Customer ID],Table4[Customer Type],"NA",0)</f>
        <v>Individual</v>
      </c>
      <c r="H2" s="28" t="s">
        <v>15</v>
      </c>
      <c r="I2" s="28" t="str">
        <f>_xlfn.XLOOKUP(Table5[[#This Row],[Product ID]],Table2[Product ID],Table2[Product Name],"NA",0)</f>
        <v>Lamp</v>
      </c>
      <c r="J2" s="30" t="str">
        <f>_xlfn.XLOOKUP(Table5[[#This Row],[Product ID]],Table2[Product ID],Table2[Category],"NA",0)</f>
        <v>Home</v>
      </c>
      <c r="K2" s="28" t="s">
        <v>16</v>
      </c>
      <c r="L2" s="28">
        <v>44</v>
      </c>
      <c r="M2" s="28">
        <v>1</v>
      </c>
      <c r="N2" s="31">
        <v>44</v>
      </c>
      <c r="O2" s="28" t="s">
        <v>17</v>
      </c>
      <c r="P2" s="28" t="s">
        <v>18</v>
      </c>
      <c r="Q2" s="28" t="s">
        <v>19</v>
      </c>
      <c r="R2" s="37" t="str">
        <f>IF(OR(Table5[[#This Row],[Delivery Status]]="Cancelled",Table5[[#This Row],[Cancel Date]]&lt;&gt;""),"Cancelled","Active")</f>
        <v>Cancelled</v>
      </c>
      <c r="S2" s="28" t="str">
        <f>IF(Table5[[#This Row],[Delivery Status]]&lt;&gt;"Delivered",
"Not Delivered",
IF(Table5[[#This Row],[Delivery Date]]-Table5[[#This Row],[Order Date]]&lt;=2,"Fast","Slow")
)</f>
        <v>Not Delivered</v>
      </c>
      <c r="T2" s="31" t="str">
        <f>IF(Table5[[#This Row],[Delivery Status]]="Delivered",
Table5[[#This Row],[Delivery Date]]-Table5[[#This Row],[Order Date]],
"")</f>
        <v/>
      </c>
      <c r="U2">
        <f>_xlfn.XLOOKUP(Table5[[#This Row],[Region]],Table3[Region],Table3[Sales Target],"NA",0)</f>
        <v>105000</v>
      </c>
    </row>
    <row r="3" spans="1:21" x14ac:dyDescent="0.25">
      <c r="A3" s="28" t="s">
        <v>20</v>
      </c>
      <c r="B3" s="29">
        <v>44979</v>
      </c>
      <c r="C3" s="29">
        <v>44981</v>
      </c>
      <c r="D3" s="29"/>
      <c r="E3" s="28" t="s">
        <v>21</v>
      </c>
      <c r="F3" s="28" t="str">
        <f>_xlfn.XLOOKUP(Table5[[#This Row],[Customer ID]],Table4[Customer ID],Table4[Customer Name],"NA",0)</f>
        <v>Ava White</v>
      </c>
      <c r="G3" s="28" t="str">
        <f>_xlfn.XLOOKUP(Table5[[#This Row],[Customer ID]],Table4[Customer ID],Table4[Customer Type],"NA",0)</f>
        <v>Individual</v>
      </c>
      <c r="H3" s="28" t="s">
        <v>22</v>
      </c>
      <c r="I3" s="28" t="str">
        <f>_xlfn.XLOOKUP(Table5[[#This Row],[Product ID]],Table2[Product ID],Table2[Product Name],"NA",0)</f>
        <v>Doll House</v>
      </c>
      <c r="J3" s="30" t="str">
        <f>_xlfn.XLOOKUP(Table5[[#This Row],[Product ID]],Table2[Product ID],Table2[Category],"NA",0)</f>
        <v>Toys</v>
      </c>
      <c r="K3" s="28" t="s">
        <v>23</v>
      </c>
      <c r="L3" s="28">
        <v>96</v>
      </c>
      <c r="M3" s="28">
        <v>4</v>
      </c>
      <c r="N3" s="31">
        <v>384</v>
      </c>
      <c r="O3" s="28" t="s">
        <v>24</v>
      </c>
      <c r="P3" s="28" t="s">
        <v>25</v>
      </c>
      <c r="Q3" s="28" t="s">
        <v>19</v>
      </c>
      <c r="R3" s="37" t="str">
        <f>IF(OR(Table5[[#This Row],[Delivery Status]]="Cancelled",Table5[[#This Row],[Cancel Date]]&lt;&gt;""),"Cancelled","Active")</f>
        <v>Active</v>
      </c>
      <c r="S3" s="28" t="str">
        <f>IF(Table5[[#This Row],[Delivery Status]]&lt;&gt;"Delivered",
"Not Delivered",
IF(Table5[[#This Row],[Delivery Date]]-Table5[[#This Row],[Order Date]]&lt;=2,"Fast","Slow")
)</f>
        <v>Fast</v>
      </c>
      <c r="T3" s="31">
        <f>IF(Table5[[#This Row],[Delivery Status]]="Delivered",
Table5[[#This Row],[Delivery Date]]-Table5[[#This Row],[Order Date]],
"")</f>
        <v>2</v>
      </c>
      <c r="U3">
        <f>_xlfn.XLOOKUP(Table5[[#This Row],[Region]],Table3[Region],Table3[Sales Target],"NA",0)</f>
        <v>50500</v>
      </c>
    </row>
    <row r="4" spans="1:21" x14ac:dyDescent="0.25">
      <c r="A4" s="28" t="s">
        <v>26</v>
      </c>
      <c r="B4" s="29">
        <v>45210</v>
      </c>
      <c r="C4" s="29"/>
      <c r="D4" s="29"/>
      <c r="E4" s="28" t="s">
        <v>14</v>
      </c>
      <c r="F4" s="28" t="str">
        <f>_xlfn.XLOOKUP(Table5[[#This Row],[Customer ID]],Table4[Customer ID],Table4[Customer Name],"NA",0)</f>
        <v>Zoe Mitchell</v>
      </c>
      <c r="G4" s="28" t="str">
        <f>_xlfn.XLOOKUP(Table5[[#This Row],[Customer ID]],Table4[Customer ID],Table4[Customer Type],"NA",0)</f>
        <v>Individual</v>
      </c>
      <c r="H4" s="28" t="s">
        <v>27</v>
      </c>
      <c r="I4" s="28" t="str">
        <f>_xlfn.XLOOKUP(Table5[[#This Row],[Product ID]],Table2[Product ID],Table2[Product Name],"NA",0)</f>
        <v>Vacuum Cleaner</v>
      </c>
      <c r="J4" s="30" t="str">
        <f>_xlfn.XLOOKUP(Table5[[#This Row],[Product ID]],Table2[Product ID],Table2[Category],"NA",0)</f>
        <v>Home</v>
      </c>
      <c r="K4" s="28" t="s">
        <v>28</v>
      </c>
      <c r="L4" s="28">
        <v>194</v>
      </c>
      <c r="M4" s="28">
        <v>4</v>
      </c>
      <c r="N4" s="31">
        <v>776</v>
      </c>
      <c r="O4" s="28" t="s">
        <v>24</v>
      </c>
      <c r="P4" s="28" t="s">
        <v>29</v>
      </c>
      <c r="Q4" s="28" t="s">
        <v>30</v>
      </c>
      <c r="R4" s="37" t="str">
        <f>IF(OR(Table5[[#This Row],[Delivery Status]]="Cancelled",Table5[[#This Row],[Cancel Date]]&lt;&gt;""),"Cancelled","Active")</f>
        <v>Active</v>
      </c>
      <c r="S4" s="28" t="str">
        <f>IF(Table5[[#This Row],[Delivery Status]]&lt;&gt;"Delivered",
"Not Delivered",
IF(Table5[[#This Row],[Delivery Date]]-Table5[[#This Row],[Order Date]]&lt;=2,"Fast","Slow")
)</f>
        <v>Not Delivered</v>
      </c>
      <c r="T4" s="31" t="str">
        <f>IF(Table5[[#This Row],[Delivery Status]]="Delivered",
Table5[[#This Row],[Delivery Date]]-Table5[[#This Row],[Order Date]],
"")</f>
        <v/>
      </c>
      <c r="U4">
        <f>_xlfn.XLOOKUP(Table5[[#This Row],[Region]],Table3[Region],Table3[Sales Target],"NA",0)</f>
        <v>91500</v>
      </c>
    </row>
    <row r="5" spans="1:21" x14ac:dyDescent="0.25">
      <c r="A5" s="28" t="s">
        <v>31</v>
      </c>
      <c r="B5" s="29">
        <v>45051</v>
      </c>
      <c r="C5" s="29"/>
      <c r="D5" s="29">
        <v>45057</v>
      </c>
      <c r="E5" s="28" t="s">
        <v>32</v>
      </c>
      <c r="F5" s="28" t="str">
        <f>_xlfn.XLOOKUP(Table5[[#This Row],[Customer ID]],Table4[Customer ID],Table4[Customer Name],"NA",0)</f>
        <v>Grace Ward</v>
      </c>
      <c r="G5" s="28" t="str">
        <f>_xlfn.XLOOKUP(Table5[[#This Row],[Customer ID]],Table4[Customer ID],Table4[Customer Type],"NA",0)</f>
        <v>Business</v>
      </c>
      <c r="H5" s="28" t="s">
        <v>27</v>
      </c>
      <c r="I5" s="28" t="str">
        <f>_xlfn.XLOOKUP(Table5[[#This Row],[Product ID]],Table2[Product ID],Table2[Product Name],"NA",0)</f>
        <v>Vacuum Cleaner</v>
      </c>
      <c r="J5" s="30" t="str">
        <f>_xlfn.XLOOKUP(Table5[[#This Row],[Product ID]],Table2[Product ID],Table2[Category],"NA",0)</f>
        <v>Home</v>
      </c>
      <c r="K5" s="28" t="s">
        <v>16</v>
      </c>
      <c r="L5" s="28">
        <v>196</v>
      </c>
      <c r="M5" s="28">
        <v>3</v>
      </c>
      <c r="N5" s="31">
        <v>588</v>
      </c>
      <c r="O5" s="28" t="s">
        <v>33</v>
      </c>
      <c r="P5" s="28" t="s">
        <v>18</v>
      </c>
      <c r="Q5" s="28" t="s">
        <v>34</v>
      </c>
      <c r="R5" s="37" t="str">
        <f>IF(OR(Table5[[#This Row],[Delivery Status]]="Cancelled",Table5[[#This Row],[Cancel Date]]&lt;&gt;""),"Cancelled","Active")</f>
        <v>Cancelled</v>
      </c>
      <c r="S5" s="28" t="str">
        <f>IF(Table5[[#This Row],[Delivery Status]]&lt;&gt;"Delivered",
"Not Delivered",
IF(Table5[[#This Row],[Delivery Date]]-Table5[[#This Row],[Order Date]]&lt;=2,"Fast","Slow")
)</f>
        <v>Not Delivered</v>
      </c>
      <c r="T5" s="31" t="str">
        <f>IF(Table5[[#This Row],[Delivery Status]]="Delivered",
Table5[[#This Row],[Delivery Date]]-Table5[[#This Row],[Order Date]],
"")</f>
        <v/>
      </c>
      <c r="U5">
        <f>_xlfn.XLOOKUP(Table5[[#This Row],[Region]],Table3[Region],Table3[Sales Target],"NA",0)</f>
        <v>105000</v>
      </c>
    </row>
    <row r="6" spans="1:21" x14ac:dyDescent="0.25">
      <c r="A6" s="28" t="s">
        <v>35</v>
      </c>
      <c r="B6" s="29">
        <v>44959</v>
      </c>
      <c r="C6" s="29">
        <v>44962</v>
      </c>
      <c r="D6" s="29"/>
      <c r="E6" s="28" t="s">
        <v>36</v>
      </c>
      <c r="F6" s="28" t="str">
        <f>_xlfn.XLOOKUP(Table5[[#This Row],[Customer ID]],Table4[Customer ID],Table4[Customer Name],"NA",0)</f>
        <v>Hazel Brooks</v>
      </c>
      <c r="G6" s="28" t="str">
        <f>_xlfn.XLOOKUP(Table5[[#This Row],[Customer ID]],Table4[Customer ID],Table4[Customer Type],"NA",0)</f>
        <v>Individual</v>
      </c>
      <c r="H6" s="28" t="s">
        <v>37</v>
      </c>
      <c r="I6" s="28" t="str">
        <f>_xlfn.XLOOKUP(Table5[[#This Row],[Product ID]],Table2[Product ID],Table2[Product Name],"NA",0)</f>
        <v>Jeans</v>
      </c>
      <c r="J6" s="30" t="str">
        <f>_xlfn.XLOOKUP(Table5[[#This Row],[Product ID]],Table2[Product ID],Table2[Category],"NA",0)</f>
        <v>Fashion</v>
      </c>
      <c r="K6" s="28" t="s">
        <v>16</v>
      </c>
      <c r="L6" s="28">
        <v>59</v>
      </c>
      <c r="M6" s="28">
        <v>1</v>
      </c>
      <c r="N6" s="31">
        <v>59</v>
      </c>
      <c r="O6" s="28" t="s">
        <v>33</v>
      </c>
      <c r="P6" s="28" t="s">
        <v>25</v>
      </c>
      <c r="Q6" s="28" t="s">
        <v>38</v>
      </c>
      <c r="R6" s="37" t="str">
        <f>IF(OR(Table5[[#This Row],[Delivery Status]]="Cancelled",Table5[[#This Row],[Cancel Date]]&lt;&gt;""),"Cancelled","Active")</f>
        <v>Active</v>
      </c>
      <c r="S6" s="28" t="str">
        <f>IF(Table5[[#This Row],[Delivery Status]]&lt;&gt;"Delivered",
"Not Delivered",
IF(Table5[[#This Row],[Delivery Date]]-Table5[[#This Row],[Order Date]]&lt;=2,"Fast","Slow")
)</f>
        <v>Slow</v>
      </c>
      <c r="T6" s="31">
        <f>IF(Table5[[#This Row],[Delivery Status]]="Delivered",
Table5[[#This Row],[Delivery Date]]-Table5[[#This Row],[Order Date]],
"")</f>
        <v>3</v>
      </c>
      <c r="U6">
        <f>_xlfn.XLOOKUP(Table5[[#This Row],[Region]],Table3[Region],Table3[Sales Target],"NA",0)</f>
        <v>105000</v>
      </c>
    </row>
    <row r="7" spans="1:21" x14ac:dyDescent="0.25">
      <c r="A7" s="28" t="s">
        <v>39</v>
      </c>
      <c r="B7" s="29">
        <v>45231</v>
      </c>
      <c r="C7" s="29"/>
      <c r="D7" s="29">
        <v>45232</v>
      </c>
      <c r="E7" s="28" t="s">
        <v>40</v>
      </c>
      <c r="F7" s="28" t="str">
        <f>_xlfn.XLOOKUP(Table5[[#This Row],[Customer ID]],Table4[Customer ID],Table4[Customer Name],"NA",0)</f>
        <v>Jackson Allen</v>
      </c>
      <c r="G7" s="28" t="str">
        <f>_xlfn.XLOOKUP(Table5[[#This Row],[Customer ID]],Table4[Customer ID],Table4[Customer Type],"NA",0)</f>
        <v>Business</v>
      </c>
      <c r="H7" s="28" t="s">
        <v>37</v>
      </c>
      <c r="I7" s="28" t="str">
        <f>_xlfn.XLOOKUP(Table5[[#This Row],[Product ID]],Table2[Product ID],Table2[Product Name],"NA",0)</f>
        <v>Jeans</v>
      </c>
      <c r="J7" s="30" t="str">
        <f>_xlfn.XLOOKUP(Table5[[#This Row],[Product ID]],Table2[Product ID],Table2[Category],"NA",0)</f>
        <v>Fashion</v>
      </c>
      <c r="K7" s="28" t="s">
        <v>16</v>
      </c>
      <c r="L7" s="28">
        <v>58</v>
      </c>
      <c r="M7" s="28">
        <v>4</v>
      </c>
      <c r="N7" s="31">
        <v>232</v>
      </c>
      <c r="O7" s="28" t="s">
        <v>41</v>
      </c>
      <c r="P7" s="28" t="s">
        <v>18</v>
      </c>
      <c r="Q7" s="28" t="s">
        <v>19</v>
      </c>
      <c r="R7" s="37" t="str">
        <f>IF(OR(Table5[[#This Row],[Delivery Status]]="Cancelled",Table5[[#This Row],[Cancel Date]]&lt;&gt;""),"Cancelled","Active")</f>
        <v>Cancelled</v>
      </c>
      <c r="S7" s="28" t="str">
        <f>IF(Table5[[#This Row],[Delivery Status]]&lt;&gt;"Delivered",
"Not Delivered",
IF(Table5[[#This Row],[Delivery Date]]-Table5[[#This Row],[Order Date]]&lt;=2,"Fast","Slow")
)</f>
        <v>Not Delivered</v>
      </c>
      <c r="T7" s="31" t="str">
        <f>IF(Table5[[#This Row],[Delivery Status]]="Delivered",
Table5[[#This Row],[Delivery Date]]-Table5[[#This Row],[Order Date]],
"")</f>
        <v/>
      </c>
      <c r="U7">
        <f>_xlfn.XLOOKUP(Table5[[#This Row],[Region]],Table3[Region],Table3[Sales Target],"NA",0)</f>
        <v>105000</v>
      </c>
    </row>
    <row r="8" spans="1:21" x14ac:dyDescent="0.25">
      <c r="A8" s="28" t="s">
        <v>42</v>
      </c>
      <c r="B8" s="29">
        <v>45152</v>
      </c>
      <c r="C8" s="29"/>
      <c r="D8" s="29">
        <v>45156</v>
      </c>
      <c r="E8" s="28" t="s">
        <v>43</v>
      </c>
      <c r="F8" s="28" t="str">
        <f>_xlfn.XLOOKUP(Table5[[#This Row],[Customer ID]],Table4[Customer ID],Table4[Customer Name],"NA",0)</f>
        <v>Noah Wilson</v>
      </c>
      <c r="G8" s="28" t="str">
        <f>_xlfn.XLOOKUP(Table5[[#This Row],[Customer ID]],Table4[Customer ID],Table4[Customer Type],"NA",0)</f>
        <v>Prime</v>
      </c>
      <c r="H8" s="28" t="s">
        <v>44</v>
      </c>
      <c r="I8" s="28" t="str">
        <f>_xlfn.XLOOKUP(Table5[[#This Row],[Product ID]],Table2[Product ID],Table2[Product Name],"NA",0)</f>
        <v>Bluetooth Speaker</v>
      </c>
      <c r="J8" s="30" t="str">
        <f>_xlfn.XLOOKUP(Table5[[#This Row],[Product ID]],Table2[Product ID],Table2[Category],"NA",0)</f>
        <v>Electronics</v>
      </c>
      <c r="K8" s="28" t="s">
        <v>45</v>
      </c>
      <c r="L8" s="28">
        <v>105</v>
      </c>
      <c r="M8" s="28">
        <v>3</v>
      </c>
      <c r="N8" s="31">
        <v>315</v>
      </c>
      <c r="O8" s="28" t="s">
        <v>46</v>
      </c>
      <c r="P8" s="28" t="s">
        <v>18</v>
      </c>
      <c r="Q8" s="28" t="s">
        <v>19</v>
      </c>
      <c r="R8" s="37" t="str">
        <f>IF(OR(Table5[[#This Row],[Delivery Status]]="Cancelled",Table5[[#This Row],[Cancel Date]]&lt;&gt;""),"Cancelled","Active")</f>
        <v>Cancelled</v>
      </c>
      <c r="S8" s="28" t="str">
        <f>IF(Table5[[#This Row],[Delivery Status]]&lt;&gt;"Delivered",
"Not Delivered",
IF(Table5[[#This Row],[Delivery Date]]-Table5[[#This Row],[Order Date]]&lt;=2,"Fast","Slow")
)</f>
        <v>Not Delivered</v>
      </c>
      <c r="T8" s="31" t="str">
        <f>IF(Table5[[#This Row],[Delivery Status]]="Delivered",
Table5[[#This Row],[Delivery Date]]-Table5[[#This Row],[Order Date]],
"")</f>
        <v/>
      </c>
      <c r="U8">
        <f>_xlfn.XLOOKUP(Table5[[#This Row],[Region]],Table3[Region],Table3[Sales Target],"NA",0)</f>
        <v>97500</v>
      </c>
    </row>
    <row r="9" spans="1:21" x14ac:dyDescent="0.25">
      <c r="A9" s="28" t="s">
        <v>47</v>
      </c>
      <c r="B9" s="29">
        <v>45017</v>
      </c>
      <c r="C9" s="29"/>
      <c r="D9" s="29">
        <v>45022</v>
      </c>
      <c r="E9" s="28" t="s">
        <v>48</v>
      </c>
      <c r="F9" s="28" t="str">
        <f>_xlfn.XLOOKUP(Table5[[#This Row],[Customer ID]],Table4[Customer ID],Table4[Customer Name],"NA",0)</f>
        <v>Ava Robinson</v>
      </c>
      <c r="G9" s="28" t="str">
        <f>_xlfn.XLOOKUP(Table5[[#This Row],[Customer ID]],Table4[Customer ID],Table4[Customer Type],"NA",0)</f>
        <v>Prime</v>
      </c>
      <c r="H9" s="28" t="s">
        <v>49</v>
      </c>
      <c r="I9" s="28" t="str">
        <f>_xlfn.XLOOKUP(Table5[[#This Row],[Product ID]],Table2[Product ID],Table2[Product Name],"NA",0)</f>
        <v>Wall Clock</v>
      </c>
      <c r="J9" s="30" t="str">
        <f>_xlfn.XLOOKUP(Table5[[#This Row],[Product ID]],Table2[Product ID],Table2[Category],"NA",0)</f>
        <v>Home</v>
      </c>
      <c r="K9" s="28" t="s">
        <v>50</v>
      </c>
      <c r="L9" s="28">
        <v>37</v>
      </c>
      <c r="M9" s="28">
        <v>5</v>
      </c>
      <c r="N9" s="31">
        <v>185</v>
      </c>
      <c r="O9" s="28" t="s">
        <v>33</v>
      </c>
      <c r="P9" s="28" t="s">
        <v>18</v>
      </c>
      <c r="Q9" s="28" t="s">
        <v>19</v>
      </c>
      <c r="R9" s="37" t="str">
        <f>IF(OR(Table5[[#This Row],[Delivery Status]]="Cancelled",Table5[[#This Row],[Cancel Date]]&lt;&gt;""),"Cancelled","Active")</f>
        <v>Cancelled</v>
      </c>
      <c r="S9" s="28" t="str">
        <f>IF(Table5[[#This Row],[Delivery Status]]&lt;&gt;"Delivered",
"Not Delivered",
IF(Table5[[#This Row],[Delivery Date]]-Table5[[#This Row],[Order Date]]&lt;=2,"Fast","Slow")
)</f>
        <v>Not Delivered</v>
      </c>
      <c r="T9" s="31" t="str">
        <f>IF(Table5[[#This Row],[Delivery Status]]="Delivered",
Table5[[#This Row],[Delivery Date]]-Table5[[#This Row],[Order Date]],
"")</f>
        <v/>
      </c>
      <c r="U9">
        <f>_xlfn.XLOOKUP(Table5[[#This Row],[Region]],Table3[Region],Table3[Sales Target],"NA",0)</f>
        <v>90750</v>
      </c>
    </row>
    <row r="10" spans="1:21" x14ac:dyDescent="0.25">
      <c r="A10" s="28" t="s">
        <v>51</v>
      </c>
      <c r="B10" s="29">
        <v>45128</v>
      </c>
      <c r="C10" s="29"/>
      <c r="D10" s="29"/>
      <c r="E10" s="28" t="s">
        <v>52</v>
      </c>
      <c r="F10" s="28" t="str">
        <f>_xlfn.XLOOKUP(Table5[[#This Row],[Customer ID]],Table4[Customer ID],Table4[Customer Name],"NA",0)</f>
        <v>Olivia Martinez</v>
      </c>
      <c r="G10" s="28" t="str">
        <f>_xlfn.XLOOKUP(Table5[[#This Row],[Customer ID]],Table4[Customer ID],Table4[Customer Type],"NA",0)</f>
        <v>Prime</v>
      </c>
      <c r="H10" s="28" t="s">
        <v>53</v>
      </c>
      <c r="I10" s="28" t="str">
        <f>_xlfn.XLOOKUP(Table5[[#This Row],[Product ID]],Table2[Product ID],Table2[Product Name],"NA",0)</f>
        <v>Formal Shirt</v>
      </c>
      <c r="J10" s="30" t="str">
        <f>_xlfn.XLOOKUP(Table5[[#This Row],[Product ID]],Table2[Product ID],Table2[Category],"NA",0)</f>
        <v>Fashion</v>
      </c>
      <c r="K10" s="28" t="s">
        <v>45</v>
      </c>
      <c r="L10" s="28">
        <v>44</v>
      </c>
      <c r="M10" s="28">
        <v>2</v>
      </c>
      <c r="N10" s="31">
        <v>88</v>
      </c>
      <c r="O10" s="28" t="s">
        <v>24</v>
      </c>
      <c r="P10" s="28" t="s">
        <v>29</v>
      </c>
      <c r="Q10" s="28" t="s">
        <v>38</v>
      </c>
      <c r="R10" s="37" t="str">
        <f>IF(OR(Table5[[#This Row],[Delivery Status]]="Cancelled",Table5[[#This Row],[Cancel Date]]&lt;&gt;""),"Cancelled","Active")</f>
        <v>Active</v>
      </c>
      <c r="S10" s="28" t="str">
        <f>IF(Table5[[#This Row],[Delivery Status]]&lt;&gt;"Delivered",
"Not Delivered",
IF(Table5[[#This Row],[Delivery Date]]-Table5[[#This Row],[Order Date]]&lt;=2,"Fast","Slow")
)</f>
        <v>Not Delivered</v>
      </c>
      <c r="T10" s="31" t="str">
        <f>IF(Table5[[#This Row],[Delivery Status]]="Delivered",
Table5[[#This Row],[Delivery Date]]-Table5[[#This Row],[Order Date]],
"")</f>
        <v/>
      </c>
      <c r="U10">
        <f>_xlfn.XLOOKUP(Table5[[#This Row],[Region]],Table3[Region],Table3[Sales Target],"NA",0)</f>
        <v>97500</v>
      </c>
    </row>
    <row r="11" spans="1:21" x14ac:dyDescent="0.25">
      <c r="A11" s="28" t="s">
        <v>54</v>
      </c>
      <c r="B11" s="29">
        <v>45289</v>
      </c>
      <c r="C11" s="29"/>
      <c r="D11" s="29"/>
      <c r="E11" s="28" t="s">
        <v>48</v>
      </c>
      <c r="F11" s="28" t="str">
        <f>_xlfn.XLOOKUP(Table5[[#This Row],[Customer ID]],Table4[Customer ID],Table4[Customer Name],"NA",0)</f>
        <v>Ava Robinson</v>
      </c>
      <c r="G11" s="28" t="str">
        <f>_xlfn.XLOOKUP(Table5[[#This Row],[Customer ID]],Table4[Customer ID],Table4[Customer Type],"NA",0)</f>
        <v>Prime</v>
      </c>
      <c r="H11" s="28" t="s">
        <v>55</v>
      </c>
      <c r="I11" s="28" t="str">
        <f>_xlfn.XLOOKUP(Table5[[#This Row],[Product ID]],Table2[Product ID],Table2[Product Name],"NA",0)</f>
        <v>Cookware Set</v>
      </c>
      <c r="J11" s="30" t="str">
        <f>_xlfn.XLOOKUP(Table5[[#This Row],[Product ID]],Table2[Product ID],Table2[Category],"NA",0)</f>
        <v>Home</v>
      </c>
      <c r="K11" s="28" t="s">
        <v>28</v>
      </c>
      <c r="L11" s="28">
        <v>141</v>
      </c>
      <c r="M11" s="28">
        <v>4</v>
      </c>
      <c r="N11" s="31">
        <v>564</v>
      </c>
      <c r="O11" s="28" t="s">
        <v>46</v>
      </c>
      <c r="P11" s="28" t="s">
        <v>29</v>
      </c>
      <c r="Q11" s="28" t="s">
        <v>19</v>
      </c>
      <c r="R11" s="37" t="str">
        <f>IF(OR(Table5[[#This Row],[Delivery Status]]="Cancelled",Table5[[#This Row],[Cancel Date]]&lt;&gt;""),"Cancelled","Active")</f>
        <v>Active</v>
      </c>
      <c r="S11" s="28" t="str">
        <f>IF(Table5[[#This Row],[Delivery Status]]&lt;&gt;"Delivered",
"Not Delivered",
IF(Table5[[#This Row],[Delivery Date]]-Table5[[#This Row],[Order Date]]&lt;=2,"Fast","Slow")
)</f>
        <v>Not Delivered</v>
      </c>
      <c r="T11" s="31" t="str">
        <f>IF(Table5[[#This Row],[Delivery Status]]="Delivered",
Table5[[#This Row],[Delivery Date]]-Table5[[#This Row],[Order Date]],
"")</f>
        <v/>
      </c>
      <c r="U11">
        <f>_xlfn.XLOOKUP(Table5[[#This Row],[Region]],Table3[Region],Table3[Sales Target],"NA",0)</f>
        <v>91500</v>
      </c>
    </row>
    <row r="12" spans="1:21" x14ac:dyDescent="0.25">
      <c r="A12" s="28" t="s">
        <v>56</v>
      </c>
      <c r="B12" s="29">
        <v>45050</v>
      </c>
      <c r="C12" s="29"/>
      <c r="D12" s="29">
        <v>45054</v>
      </c>
      <c r="E12" s="28" t="s">
        <v>57</v>
      </c>
      <c r="F12" s="28" t="str">
        <f>_xlfn.XLOOKUP(Table5[[#This Row],[Customer ID]],Table4[Customer ID],Table4[Customer Name],"NA",0)</f>
        <v>Emily Johnson</v>
      </c>
      <c r="G12" s="28" t="str">
        <f>_xlfn.XLOOKUP(Table5[[#This Row],[Customer ID]],Table4[Customer ID],Table4[Customer Type],"NA",0)</f>
        <v>Prime</v>
      </c>
      <c r="H12" s="28" t="s">
        <v>58</v>
      </c>
      <c r="I12" s="28" t="str">
        <f>_xlfn.XLOOKUP(Table5[[#This Row],[Product ID]],Table2[Product ID],Table2[Product Name],"NA",0)</f>
        <v>Smartwatch</v>
      </c>
      <c r="J12" s="30" t="str">
        <f>_xlfn.XLOOKUP(Table5[[#This Row],[Product ID]],Table2[Product ID],Table2[Category],"NA",0)</f>
        <v>Electronics</v>
      </c>
      <c r="K12" s="28" t="s">
        <v>28</v>
      </c>
      <c r="L12" s="28">
        <v>249</v>
      </c>
      <c r="M12" s="28">
        <v>1</v>
      </c>
      <c r="N12" s="31">
        <v>249</v>
      </c>
      <c r="O12" s="28" t="s">
        <v>41</v>
      </c>
      <c r="P12" s="28" t="s">
        <v>18</v>
      </c>
      <c r="Q12" s="28" t="s">
        <v>30</v>
      </c>
      <c r="R12" s="37" t="str">
        <f>IF(OR(Table5[[#This Row],[Delivery Status]]="Cancelled",Table5[[#This Row],[Cancel Date]]&lt;&gt;""),"Cancelled","Active")</f>
        <v>Cancelled</v>
      </c>
      <c r="S12" s="28" t="str">
        <f>IF(Table5[[#This Row],[Delivery Status]]&lt;&gt;"Delivered",
"Not Delivered",
IF(Table5[[#This Row],[Delivery Date]]-Table5[[#This Row],[Order Date]]&lt;=2,"Fast","Slow")
)</f>
        <v>Not Delivered</v>
      </c>
      <c r="T12" s="31" t="str">
        <f>IF(Table5[[#This Row],[Delivery Status]]="Delivered",
Table5[[#This Row],[Delivery Date]]-Table5[[#This Row],[Order Date]],
"")</f>
        <v/>
      </c>
      <c r="U12">
        <f>_xlfn.XLOOKUP(Table5[[#This Row],[Region]],Table3[Region],Table3[Sales Target],"NA",0)</f>
        <v>91500</v>
      </c>
    </row>
    <row r="13" spans="1:21" x14ac:dyDescent="0.25">
      <c r="A13" s="28" t="s">
        <v>59</v>
      </c>
      <c r="B13" s="29">
        <v>45132</v>
      </c>
      <c r="C13" s="29"/>
      <c r="D13" s="29"/>
      <c r="E13" s="28" t="s">
        <v>60</v>
      </c>
      <c r="F13" s="28" t="str">
        <f>_xlfn.XLOOKUP(Table5[[#This Row],[Customer ID]],Table4[Customer ID],Table4[Customer Name],"NA",0)</f>
        <v>Emily Johnson</v>
      </c>
      <c r="G13" s="28" t="str">
        <f>_xlfn.XLOOKUP(Table5[[#This Row],[Customer ID]],Table4[Customer ID],Table4[Customer Type],"NA",0)</f>
        <v>Individual</v>
      </c>
      <c r="H13" s="28" t="s">
        <v>58</v>
      </c>
      <c r="I13" s="28" t="str">
        <f>_xlfn.XLOOKUP(Table5[[#This Row],[Product ID]],Table2[Product ID],Table2[Product Name],"NA",0)</f>
        <v>Smartwatch</v>
      </c>
      <c r="J13" s="30" t="str">
        <f>_xlfn.XLOOKUP(Table5[[#This Row],[Product ID]],Table2[Product ID],Table2[Category],"NA",0)</f>
        <v>Electronics</v>
      </c>
      <c r="K13" s="28" t="s">
        <v>45</v>
      </c>
      <c r="L13" s="28">
        <v>247</v>
      </c>
      <c r="M13" s="28">
        <v>3</v>
      </c>
      <c r="N13" s="31">
        <v>741</v>
      </c>
      <c r="O13" s="28" t="s">
        <v>41</v>
      </c>
      <c r="P13" s="28" t="s">
        <v>29</v>
      </c>
      <c r="Q13" s="28" t="s">
        <v>61</v>
      </c>
      <c r="R13" s="37" t="str">
        <f>IF(OR(Table5[[#This Row],[Delivery Status]]="Cancelled",Table5[[#This Row],[Cancel Date]]&lt;&gt;""),"Cancelled","Active")</f>
        <v>Active</v>
      </c>
      <c r="S13" s="28" t="str">
        <f>IF(Table5[[#This Row],[Delivery Status]]&lt;&gt;"Delivered",
"Not Delivered",
IF(Table5[[#This Row],[Delivery Date]]-Table5[[#This Row],[Order Date]]&lt;=2,"Fast","Slow")
)</f>
        <v>Not Delivered</v>
      </c>
      <c r="T13" s="31" t="str">
        <f>IF(Table5[[#This Row],[Delivery Status]]="Delivered",
Table5[[#This Row],[Delivery Date]]-Table5[[#This Row],[Order Date]],
"")</f>
        <v/>
      </c>
      <c r="U13">
        <f>_xlfn.XLOOKUP(Table5[[#This Row],[Region]],Table3[Region],Table3[Sales Target],"NA",0)</f>
        <v>97500</v>
      </c>
    </row>
    <row r="14" spans="1:21" x14ac:dyDescent="0.25">
      <c r="A14" s="28" t="s">
        <v>62</v>
      </c>
      <c r="B14" s="29">
        <v>44982</v>
      </c>
      <c r="C14" s="29"/>
      <c r="D14" s="29">
        <v>44985</v>
      </c>
      <c r="E14" s="28" t="s">
        <v>63</v>
      </c>
      <c r="F14" s="28" t="str">
        <f>_xlfn.XLOOKUP(Table5[[#This Row],[Customer ID]],Table4[Customer ID],Table4[Customer Name],"NA",0)</f>
        <v>Charlotte Reed</v>
      </c>
      <c r="G14" s="28" t="str">
        <f>_xlfn.XLOOKUP(Table5[[#This Row],[Customer ID]],Table4[Customer ID],Table4[Customer Type],"NA",0)</f>
        <v>Individual</v>
      </c>
      <c r="H14" s="28" t="s">
        <v>64</v>
      </c>
      <c r="I14" s="28" t="str">
        <f>_xlfn.XLOOKUP(Table5[[#This Row],[Product ID]],Table2[Product ID],Table2[Product Name],"NA",0)</f>
        <v>Shoes</v>
      </c>
      <c r="J14" s="30" t="str">
        <f>_xlfn.XLOOKUP(Table5[[#This Row],[Product ID]],Table2[Product ID],Table2[Category],"NA",0)</f>
        <v>Fashion</v>
      </c>
      <c r="K14" s="28" t="s">
        <v>45</v>
      </c>
      <c r="L14" s="28">
        <v>96</v>
      </c>
      <c r="M14" s="28">
        <v>1</v>
      </c>
      <c r="N14" s="31">
        <v>96</v>
      </c>
      <c r="O14" s="28" t="s">
        <v>17</v>
      </c>
      <c r="P14" s="28" t="s">
        <v>18</v>
      </c>
      <c r="Q14" s="28" t="s">
        <v>38</v>
      </c>
      <c r="R14" s="37" t="str">
        <f>IF(OR(Table5[[#This Row],[Delivery Status]]="Cancelled",Table5[[#This Row],[Cancel Date]]&lt;&gt;""),"Cancelled","Active")</f>
        <v>Cancelled</v>
      </c>
      <c r="S14" s="28" t="str">
        <f>IF(Table5[[#This Row],[Delivery Status]]&lt;&gt;"Delivered",
"Not Delivered",
IF(Table5[[#This Row],[Delivery Date]]-Table5[[#This Row],[Order Date]]&lt;=2,"Fast","Slow")
)</f>
        <v>Not Delivered</v>
      </c>
      <c r="T14" s="31" t="str">
        <f>IF(Table5[[#This Row],[Delivery Status]]="Delivered",
Table5[[#This Row],[Delivery Date]]-Table5[[#This Row],[Order Date]],
"")</f>
        <v/>
      </c>
      <c r="U14">
        <f>_xlfn.XLOOKUP(Table5[[#This Row],[Region]],Table3[Region],Table3[Sales Target],"NA",0)</f>
        <v>97500</v>
      </c>
    </row>
    <row r="15" spans="1:21" x14ac:dyDescent="0.25">
      <c r="A15" s="28" t="s">
        <v>65</v>
      </c>
      <c r="B15" s="29">
        <v>44981</v>
      </c>
      <c r="C15" s="29"/>
      <c r="D15" s="29">
        <v>44982</v>
      </c>
      <c r="E15" s="28" t="s">
        <v>66</v>
      </c>
      <c r="F15" s="28" t="str">
        <f>_xlfn.XLOOKUP(Table5[[#This Row],[Customer ID]],Table4[Customer ID],Table4[Customer Name],"NA",0)</f>
        <v>Hazel Rivera</v>
      </c>
      <c r="G15" s="28" t="str">
        <f>_xlfn.XLOOKUP(Table5[[#This Row],[Customer ID]],Table4[Customer ID],Table4[Customer Type],"NA",0)</f>
        <v>Business</v>
      </c>
      <c r="H15" s="28" t="s">
        <v>67</v>
      </c>
      <c r="I15" s="28" t="str">
        <f>_xlfn.XLOOKUP(Table5[[#This Row],[Product ID]],Table2[Product ID],Table2[Product Name],"NA",0)</f>
        <v>Gaming Mouse</v>
      </c>
      <c r="J15" s="30" t="str">
        <f>_xlfn.XLOOKUP(Table5[[#This Row],[Product ID]],Table2[Product ID],Table2[Category],"NA",0)</f>
        <v>Electronics</v>
      </c>
      <c r="K15" s="28" t="s">
        <v>50</v>
      </c>
      <c r="L15" s="28">
        <v>74</v>
      </c>
      <c r="M15" s="28">
        <v>5</v>
      </c>
      <c r="N15" s="31">
        <v>370</v>
      </c>
      <c r="O15" s="28" t="s">
        <v>17</v>
      </c>
      <c r="P15" s="28" t="s">
        <v>18</v>
      </c>
      <c r="Q15" s="28" t="s">
        <v>38</v>
      </c>
      <c r="R15" s="37" t="str">
        <f>IF(OR(Table5[[#This Row],[Delivery Status]]="Cancelled",Table5[[#This Row],[Cancel Date]]&lt;&gt;""),"Cancelled","Active")</f>
        <v>Cancelled</v>
      </c>
      <c r="S15" s="28" t="str">
        <f>IF(Table5[[#This Row],[Delivery Status]]&lt;&gt;"Delivered",
"Not Delivered",
IF(Table5[[#This Row],[Delivery Date]]-Table5[[#This Row],[Order Date]]&lt;=2,"Fast","Slow")
)</f>
        <v>Not Delivered</v>
      </c>
      <c r="T15" s="31" t="str">
        <f>IF(Table5[[#This Row],[Delivery Status]]="Delivered",
Table5[[#This Row],[Delivery Date]]-Table5[[#This Row],[Order Date]],
"")</f>
        <v/>
      </c>
      <c r="U15">
        <f>_xlfn.XLOOKUP(Table5[[#This Row],[Region]],Table3[Region],Table3[Sales Target],"NA",0)</f>
        <v>90750</v>
      </c>
    </row>
    <row r="16" spans="1:21" x14ac:dyDescent="0.25">
      <c r="A16" s="28" t="s">
        <v>68</v>
      </c>
      <c r="B16" s="29">
        <v>45164</v>
      </c>
      <c r="C16" s="29"/>
      <c r="D16" s="29">
        <v>45171</v>
      </c>
      <c r="E16" s="28" t="s">
        <v>66</v>
      </c>
      <c r="F16" s="28" t="str">
        <f>_xlfn.XLOOKUP(Table5[[#This Row],[Customer ID]],Table4[Customer ID],Table4[Customer Name],"NA",0)</f>
        <v>Hazel Rivera</v>
      </c>
      <c r="G16" s="28" t="str">
        <f>_xlfn.XLOOKUP(Table5[[#This Row],[Customer ID]],Table4[Customer ID],Table4[Customer Type],"NA",0)</f>
        <v>Business</v>
      </c>
      <c r="H16" s="28" t="s">
        <v>69</v>
      </c>
      <c r="I16" s="28" t="str">
        <f>_xlfn.XLOOKUP(Table5[[#This Row],[Product ID]],Table2[Product ID],Table2[Product Name],"NA",0)</f>
        <v>T-Shirt</v>
      </c>
      <c r="J16" s="30" t="str">
        <f>_xlfn.XLOOKUP(Table5[[#This Row],[Product ID]],Table2[Product ID],Table2[Category],"NA",0)</f>
        <v>Fashion</v>
      </c>
      <c r="K16" s="28" t="s">
        <v>28</v>
      </c>
      <c r="L16" s="28">
        <v>27</v>
      </c>
      <c r="M16" s="28">
        <v>1</v>
      </c>
      <c r="N16" s="31">
        <v>27</v>
      </c>
      <c r="O16" s="28" t="s">
        <v>24</v>
      </c>
      <c r="P16" s="28" t="s">
        <v>18</v>
      </c>
      <c r="Q16" s="28" t="s">
        <v>38</v>
      </c>
      <c r="R16" s="37" t="str">
        <f>IF(OR(Table5[[#This Row],[Delivery Status]]="Cancelled",Table5[[#This Row],[Cancel Date]]&lt;&gt;""),"Cancelled","Active")</f>
        <v>Cancelled</v>
      </c>
      <c r="S16" s="28" t="str">
        <f>IF(Table5[[#This Row],[Delivery Status]]&lt;&gt;"Delivered",
"Not Delivered",
IF(Table5[[#This Row],[Delivery Date]]-Table5[[#This Row],[Order Date]]&lt;=2,"Fast","Slow")
)</f>
        <v>Not Delivered</v>
      </c>
      <c r="T16" s="31" t="str">
        <f>IF(Table5[[#This Row],[Delivery Status]]="Delivered",
Table5[[#This Row],[Delivery Date]]-Table5[[#This Row],[Order Date]],
"")</f>
        <v/>
      </c>
      <c r="U16">
        <f>_xlfn.XLOOKUP(Table5[[#This Row],[Region]],Table3[Region],Table3[Sales Target],"NA",0)</f>
        <v>91500</v>
      </c>
    </row>
    <row r="17" spans="1:21" x14ac:dyDescent="0.25">
      <c r="A17" s="28" t="s">
        <v>70</v>
      </c>
      <c r="B17" s="29">
        <v>44970</v>
      </c>
      <c r="C17" s="29"/>
      <c r="D17" s="29"/>
      <c r="E17" s="28" t="s">
        <v>71</v>
      </c>
      <c r="F17" s="28" t="str">
        <f>_xlfn.XLOOKUP(Table5[[#This Row],[Customer ID]],Table4[Customer ID],Table4[Customer Name],"NA",0)</f>
        <v>Scarlett Murphy</v>
      </c>
      <c r="G17" s="28" t="str">
        <f>_xlfn.XLOOKUP(Table5[[#This Row],[Customer ID]],Table4[Customer ID],Table4[Customer Type],"NA",0)</f>
        <v>Individual</v>
      </c>
      <c r="H17" s="28" t="s">
        <v>69</v>
      </c>
      <c r="I17" s="28" t="str">
        <f>_xlfn.XLOOKUP(Table5[[#This Row],[Product ID]],Table2[Product ID],Table2[Product Name],"NA",0)</f>
        <v>T-Shirt</v>
      </c>
      <c r="J17" s="30" t="str">
        <f>_xlfn.XLOOKUP(Table5[[#This Row],[Product ID]],Table2[Product ID],Table2[Category],"NA",0)</f>
        <v>Fashion</v>
      </c>
      <c r="K17" s="28" t="s">
        <v>28</v>
      </c>
      <c r="L17" s="28">
        <v>27</v>
      </c>
      <c r="M17" s="28">
        <v>3</v>
      </c>
      <c r="N17" s="31">
        <v>81</v>
      </c>
      <c r="O17" s="28" t="s">
        <v>46</v>
      </c>
      <c r="P17" s="28" t="s">
        <v>29</v>
      </c>
      <c r="Q17" s="28" t="s">
        <v>38</v>
      </c>
      <c r="R17" s="37" t="str">
        <f>IF(OR(Table5[[#This Row],[Delivery Status]]="Cancelled",Table5[[#This Row],[Cancel Date]]&lt;&gt;""),"Cancelled","Active")</f>
        <v>Active</v>
      </c>
      <c r="S17" s="28" t="str">
        <f>IF(Table5[[#This Row],[Delivery Status]]&lt;&gt;"Delivered",
"Not Delivered",
IF(Table5[[#This Row],[Delivery Date]]-Table5[[#This Row],[Order Date]]&lt;=2,"Fast","Slow")
)</f>
        <v>Not Delivered</v>
      </c>
      <c r="T17" s="31" t="str">
        <f>IF(Table5[[#This Row],[Delivery Status]]="Delivered",
Table5[[#This Row],[Delivery Date]]-Table5[[#This Row],[Order Date]],
"")</f>
        <v/>
      </c>
      <c r="U17">
        <f>_xlfn.XLOOKUP(Table5[[#This Row],[Region]],Table3[Region],Table3[Sales Target],"NA",0)</f>
        <v>91500</v>
      </c>
    </row>
    <row r="18" spans="1:21" x14ac:dyDescent="0.25">
      <c r="A18" s="28" t="s">
        <v>72</v>
      </c>
      <c r="B18" s="29">
        <v>45105</v>
      </c>
      <c r="C18" s="29">
        <v>45108</v>
      </c>
      <c r="D18" s="29"/>
      <c r="E18" s="28" t="s">
        <v>60</v>
      </c>
      <c r="F18" s="28" t="str">
        <f>_xlfn.XLOOKUP(Table5[[#This Row],[Customer ID]],Table4[Customer ID],Table4[Customer Name],"NA",0)</f>
        <v>Emily Johnson</v>
      </c>
      <c r="G18" s="28" t="str">
        <f>_xlfn.XLOOKUP(Table5[[#This Row],[Customer ID]],Table4[Customer ID],Table4[Customer Type],"NA",0)</f>
        <v>Individual</v>
      </c>
      <c r="H18" s="28" t="s">
        <v>73</v>
      </c>
      <c r="I18" s="28" t="str">
        <f>_xlfn.XLOOKUP(Table5[[#This Row],[Product ID]],Table2[Product ID],Table2[Product Name],"NA",0)</f>
        <v>Novel</v>
      </c>
      <c r="J18" s="30" t="str">
        <f>_xlfn.XLOOKUP(Table5[[#This Row],[Product ID]],Table2[Product ID],Table2[Category],"NA",0)</f>
        <v>Books</v>
      </c>
      <c r="K18" s="28" t="s">
        <v>23</v>
      </c>
      <c r="L18" s="28">
        <v>21</v>
      </c>
      <c r="M18" s="28">
        <v>3</v>
      </c>
      <c r="N18" s="31">
        <v>63</v>
      </c>
      <c r="O18" s="28" t="s">
        <v>24</v>
      </c>
      <c r="P18" s="28" t="s">
        <v>25</v>
      </c>
      <c r="Q18" s="28" t="s">
        <v>19</v>
      </c>
      <c r="R18" s="37" t="str">
        <f>IF(OR(Table5[[#This Row],[Delivery Status]]="Cancelled",Table5[[#This Row],[Cancel Date]]&lt;&gt;""),"Cancelled","Active")</f>
        <v>Active</v>
      </c>
      <c r="S18" s="28" t="str">
        <f>IF(Table5[[#This Row],[Delivery Status]]&lt;&gt;"Delivered",
"Not Delivered",
IF(Table5[[#This Row],[Delivery Date]]-Table5[[#This Row],[Order Date]]&lt;=2,"Fast","Slow")
)</f>
        <v>Slow</v>
      </c>
      <c r="T18" s="31">
        <f>IF(Table5[[#This Row],[Delivery Status]]="Delivered",
Table5[[#This Row],[Delivery Date]]-Table5[[#This Row],[Order Date]],
"")</f>
        <v>3</v>
      </c>
      <c r="U18">
        <f>_xlfn.XLOOKUP(Table5[[#This Row],[Region]],Table3[Region],Table3[Sales Target],"NA",0)</f>
        <v>50500</v>
      </c>
    </row>
    <row r="19" spans="1:21" x14ac:dyDescent="0.25">
      <c r="A19" s="28" t="s">
        <v>74</v>
      </c>
      <c r="B19" s="29">
        <v>45258</v>
      </c>
      <c r="C19" s="29"/>
      <c r="D19" s="29"/>
      <c r="E19" s="28" t="s">
        <v>75</v>
      </c>
      <c r="F19" s="28" t="str">
        <f>_xlfn.XLOOKUP(Table5[[#This Row],[Customer ID]],Table4[Customer ID],Table4[Customer Name],"NA",0)</f>
        <v>Mason Hall</v>
      </c>
      <c r="G19" s="28" t="str">
        <f>_xlfn.XLOOKUP(Table5[[#This Row],[Customer ID]],Table4[Customer ID],Table4[Customer Type],"NA",0)</f>
        <v>Business</v>
      </c>
      <c r="H19" s="28" t="s">
        <v>76</v>
      </c>
      <c r="I19" s="28" t="str">
        <f>_xlfn.XLOOKUP(Table5[[#This Row],[Product ID]],Table2[Product ID],Table2[Product Name],"NA",0)</f>
        <v>Textbook</v>
      </c>
      <c r="J19" s="30" t="str">
        <f>_xlfn.XLOOKUP(Table5[[#This Row],[Product ID]],Table2[Product ID],Table2[Category],"NA",0)</f>
        <v>Books</v>
      </c>
      <c r="K19" s="28" t="s">
        <v>50</v>
      </c>
      <c r="L19" s="28">
        <v>70</v>
      </c>
      <c r="M19" s="28">
        <v>5</v>
      </c>
      <c r="N19" s="31">
        <v>350</v>
      </c>
      <c r="O19" s="28" t="s">
        <v>33</v>
      </c>
      <c r="P19" s="28" t="s">
        <v>29</v>
      </c>
      <c r="Q19" s="28" t="s">
        <v>38</v>
      </c>
      <c r="R19" s="37" t="str">
        <f>IF(OR(Table5[[#This Row],[Delivery Status]]="Cancelled",Table5[[#This Row],[Cancel Date]]&lt;&gt;""),"Cancelled","Active")</f>
        <v>Active</v>
      </c>
      <c r="S19" s="28" t="str">
        <f>IF(Table5[[#This Row],[Delivery Status]]&lt;&gt;"Delivered",
"Not Delivered",
IF(Table5[[#This Row],[Delivery Date]]-Table5[[#This Row],[Order Date]]&lt;=2,"Fast","Slow")
)</f>
        <v>Not Delivered</v>
      </c>
      <c r="T19" s="31" t="str">
        <f>IF(Table5[[#This Row],[Delivery Status]]="Delivered",
Table5[[#This Row],[Delivery Date]]-Table5[[#This Row],[Order Date]],
"")</f>
        <v/>
      </c>
      <c r="U19">
        <f>_xlfn.XLOOKUP(Table5[[#This Row],[Region]],Table3[Region],Table3[Sales Target],"NA",0)</f>
        <v>90750</v>
      </c>
    </row>
    <row r="20" spans="1:21" x14ac:dyDescent="0.25">
      <c r="A20" s="28" t="s">
        <v>77</v>
      </c>
      <c r="B20" s="29">
        <v>45163</v>
      </c>
      <c r="C20" s="29"/>
      <c r="D20" s="29"/>
      <c r="E20" s="28" t="s">
        <v>78</v>
      </c>
      <c r="F20" s="28" t="str">
        <f>_xlfn.XLOOKUP(Table5[[#This Row],[Customer ID]],Table4[Customer ID],Table4[Customer Name],"NA",0)</f>
        <v>Jacob Price</v>
      </c>
      <c r="G20" s="28" t="str">
        <f>_xlfn.XLOOKUP(Table5[[#This Row],[Customer ID]],Table4[Customer ID],Table4[Customer Type],"NA",0)</f>
        <v>Business</v>
      </c>
      <c r="H20" s="28" t="s">
        <v>64</v>
      </c>
      <c r="I20" s="28" t="str">
        <f>_xlfn.XLOOKUP(Table5[[#This Row],[Product ID]],Table2[Product ID],Table2[Product Name],"NA",0)</f>
        <v>Shoes</v>
      </c>
      <c r="J20" s="30" t="str">
        <f>_xlfn.XLOOKUP(Table5[[#This Row],[Product ID]],Table2[Product ID],Table2[Category],"NA",0)</f>
        <v>Fashion</v>
      </c>
      <c r="K20" s="28" t="s">
        <v>28</v>
      </c>
      <c r="L20" s="28">
        <v>94</v>
      </c>
      <c r="M20" s="28">
        <v>4</v>
      </c>
      <c r="N20" s="31">
        <v>376</v>
      </c>
      <c r="O20" s="28" t="s">
        <v>24</v>
      </c>
      <c r="P20" s="28" t="s">
        <v>29</v>
      </c>
      <c r="Q20" s="28" t="s">
        <v>30</v>
      </c>
      <c r="R20" s="37" t="str">
        <f>IF(OR(Table5[[#This Row],[Delivery Status]]="Cancelled",Table5[[#This Row],[Cancel Date]]&lt;&gt;""),"Cancelled","Active")</f>
        <v>Active</v>
      </c>
      <c r="S20" s="28" t="str">
        <f>IF(Table5[[#This Row],[Delivery Status]]&lt;&gt;"Delivered",
"Not Delivered",
IF(Table5[[#This Row],[Delivery Date]]-Table5[[#This Row],[Order Date]]&lt;=2,"Fast","Slow")
)</f>
        <v>Not Delivered</v>
      </c>
      <c r="T20" s="31" t="str">
        <f>IF(Table5[[#This Row],[Delivery Status]]="Delivered",
Table5[[#This Row],[Delivery Date]]-Table5[[#This Row],[Order Date]],
"")</f>
        <v/>
      </c>
      <c r="U20">
        <f>_xlfn.XLOOKUP(Table5[[#This Row],[Region]],Table3[Region],Table3[Sales Target],"NA",0)</f>
        <v>91500</v>
      </c>
    </row>
    <row r="21" spans="1:21" x14ac:dyDescent="0.25">
      <c r="A21" s="28" t="s">
        <v>79</v>
      </c>
      <c r="B21" s="29">
        <v>45028</v>
      </c>
      <c r="C21" s="29"/>
      <c r="D21" s="29"/>
      <c r="E21" s="28" t="s">
        <v>80</v>
      </c>
      <c r="F21" s="28" t="str">
        <f>_xlfn.XLOOKUP(Table5[[#This Row],[Customer ID]],Table4[Customer ID],Table4[Customer Name],"NA",0)</f>
        <v>Emma King</v>
      </c>
      <c r="G21" s="28" t="str">
        <f>_xlfn.XLOOKUP(Table5[[#This Row],[Customer ID]],Table4[Customer ID],Table4[Customer Type],"NA",0)</f>
        <v>Individual</v>
      </c>
      <c r="H21" s="28" t="s">
        <v>81</v>
      </c>
      <c r="I21" s="28" t="str">
        <f>_xlfn.XLOOKUP(Table5[[#This Row],[Product ID]],Table2[Product ID],Table2[Product Name],"NA",0)</f>
        <v>Smartphone</v>
      </c>
      <c r="J21" s="30" t="str">
        <f>_xlfn.XLOOKUP(Table5[[#This Row],[Product ID]],Table2[Product ID],Table2[Category],"NA",0)</f>
        <v>Electronics</v>
      </c>
      <c r="K21" s="28" t="s">
        <v>16</v>
      </c>
      <c r="L21" s="28">
        <v>813</v>
      </c>
      <c r="M21" s="28">
        <v>2</v>
      </c>
      <c r="N21" s="31">
        <v>1626</v>
      </c>
      <c r="O21" s="28" t="s">
        <v>24</v>
      </c>
      <c r="P21" s="28" t="s">
        <v>29</v>
      </c>
      <c r="Q21" s="28" t="s">
        <v>61</v>
      </c>
      <c r="R21" s="37" t="str">
        <f>IF(OR(Table5[[#This Row],[Delivery Status]]="Cancelled",Table5[[#This Row],[Cancel Date]]&lt;&gt;""),"Cancelled","Active")</f>
        <v>Active</v>
      </c>
      <c r="S21" s="28" t="str">
        <f>IF(Table5[[#This Row],[Delivery Status]]&lt;&gt;"Delivered",
"Not Delivered",
IF(Table5[[#This Row],[Delivery Date]]-Table5[[#This Row],[Order Date]]&lt;=2,"Fast","Slow")
)</f>
        <v>Not Delivered</v>
      </c>
      <c r="T21" s="31" t="str">
        <f>IF(Table5[[#This Row],[Delivery Status]]="Delivered",
Table5[[#This Row],[Delivery Date]]-Table5[[#This Row],[Order Date]],
"")</f>
        <v/>
      </c>
      <c r="U21">
        <f>_xlfn.XLOOKUP(Table5[[#This Row],[Region]],Table3[Region],Table3[Sales Target],"NA",0)</f>
        <v>105000</v>
      </c>
    </row>
    <row r="22" spans="1:21" x14ac:dyDescent="0.25">
      <c r="A22" s="28" t="s">
        <v>82</v>
      </c>
      <c r="B22" s="29">
        <v>45201</v>
      </c>
      <c r="C22" s="29"/>
      <c r="D22" s="29"/>
      <c r="E22" s="28" t="s">
        <v>52</v>
      </c>
      <c r="F22" s="28" t="str">
        <f>_xlfn.XLOOKUP(Table5[[#This Row],[Customer ID]],Table4[Customer ID],Table4[Customer Name],"NA",0)</f>
        <v>Olivia Martinez</v>
      </c>
      <c r="G22" s="28" t="str">
        <f>_xlfn.XLOOKUP(Table5[[#This Row],[Customer ID]],Table4[Customer ID],Table4[Customer Type],"NA",0)</f>
        <v>Prime</v>
      </c>
      <c r="H22" s="28" t="s">
        <v>73</v>
      </c>
      <c r="I22" s="28" t="str">
        <f>_xlfn.XLOOKUP(Table5[[#This Row],[Product ID]],Table2[Product ID],Table2[Product Name],"NA",0)</f>
        <v>Novel</v>
      </c>
      <c r="J22" s="30" t="str">
        <f>_xlfn.XLOOKUP(Table5[[#This Row],[Product ID]],Table2[Product ID],Table2[Category],"NA",0)</f>
        <v>Books</v>
      </c>
      <c r="K22" s="28" t="s">
        <v>45</v>
      </c>
      <c r="L22" s="28">
        <v>21</v>
      </c>
      <c r="M22" s="28">
        <v>4</v>
      </c>
      <c r="N22" s="31">
        <v>84</v>
      </c>
      <c r="O22" s="28" t="s">
        <v>33</v>
      </c>
      <c r="P22" s="28" t="s">
        <v>29</v>
      </c>
      <c r="Q22" s="28" t="s">
        <v>38</v>
      </c>
      <c r="R22" s="37" t="str">
        <f>IF(OR(Table5[[#This Row],[Delivery Status]]="Cancelled",Table5[[#This Row],[Cancel Date]]&lt;&gt;""),"Cancelled","Active")</f>
        <v>Active</v>
      </c>
      <c r="S22" s="28" t="str">
        <f>IF(Table5[[#This Row],[Delivery Status]]&lt;&gt;"Delivered",
"Not Delivered",
IF(Table5[[#This Row],[Delivery Date]]-Table5[[#This Row],[Order Date]]&lt;=2,"Fast","Slow")
)</f>
        <v>Not Delivered</v>
      </c>
      <c r="T22" s="31" t="str">
        <f>IF(Table5[[#This Row],[Delivery Status]]="Delivered",
Table5[[#This Row],[Delivery Date]]-Table5[[#This Row],[Order Date]],
"")</f>
        <v/>
      </c>
      <c r="U22">
        <f>_xlfn.XLOOKUP(Table5[[#This Row],[Region]],Table3[Region],Table3[Sales Target],"NA",0)</f>
        <v>97500</v>
      </c>
    </row>
    <row r="23" spans="1:21" x14ac:dyDescent="0.25">
      <c r="A23" s="28" t="s">
        <v>83</v>
      </c>
      <c r="B23" s="29">
        <v>45239</v>
      </c>
      <c r="C23" s="29"/>
      <c r="D23" s="29"/>
      <c r="E23" s="28" t="s">
        <v>63</v>
      </c>
      <c r="F23" s="28" t="str">
        <f>_xlfn.XLOOKUP(Table5[[#This Row],[Customer ID]],Table4[Customer ID],Table4[Customer Name],"NA",0)</f>
        <v>Charlotte Reed</v>
      </c>
      <c r="G23" s="28" t="str">
        <f>_xlfn.XLOOKUP(Table5[[#This Row],[Customer ID]],Table4[Customer ID],Table4[Customer Type],"NA",0)</f>
        <v>Individual</v>
      </c>
      <c r="H23" s="28" t="s">
        <v>15</v>
      </c>
      <c r="I23" s="28" t="str">
        <f>_xlfn.XLOOKUP(Table5[[#This Row],[Product ID]],Table2[Product ID],Table2[Product Name],"NA",0)</f>
        <v>Lamp</v>
      </c>
      <c r="J23" s="30" t="str">
        <f>_xlfn.XLOOKUP(Table5[[#This Row],[Product ID]],Table2[Product ID],Table2[Category],"NA",0)</f>
        <v>Home</v>
      </c>
      <c r="K23" s="28" t="s">
        <v>50</v>
      </c>
      <c r="L23" s="28">
        <v>46</v>
      </c>
      <c r="M23" s="28">
        <v>5</v>
      </c>
      <c r="N23" s="31">
        <v>230</v>
      </c>
      <c r="O23" s="28" t="s">
        <v>33</v>
      </c>
      <c r="P23" s="28" t="s">
        <v>29</v>
      </c>
      <c r="Q23" s="28" t="s">
        <v>30</v>
      </c>
      <c r="R23" s="37" t="str">
        <f>IF(OR(Table5[[#This Row],[Delivery Status]]="Cancelled",Table5[[#This Row],[Cancel Date]]&lt;&gt;""),"Cancelled","Active")</f>
        <v>Active</v>
      </c>
      <c r="S23" s="28" t="str">
        <f>IF(Table5[[#This Row],[Delivery Status]]&lt;&gt;"Delivered",
"Not Delivered",
IF(Table5[[#This Row],[Delivery Date]]-Table5[[#This Row],[Order Date]]&lt;=2,"Fast","Slow")
)</f>
        <v>Not Delivered</v>
      </c>
      <c r="T23" s="31" t="str">
        <f>IF(Table5[[#This Row],[Delivery Status]]="Delivered",
Table5[[#This Row],[Delivery Date]]-Table5[[#This Row],[Order Date]],
"")</f>
        <v/>
      </c>
      <c r="U23">
        <f>_xlfn.XLOOKUP(Table5[[#This Row],[Region]],Table3[Region],Table3[Sales Target],"NA",0)</f>
        <v>90750</v>
      </c>
    </row>
    <row r="24" spans="1:21" x14ac:dyDescent="0.25">
      <c r="A24" s="28" t="s">
        <v>84</v>
      </c>
      <c r="B24" s="29">
        <v>44970</v>
      </c>
      <c r="C24" s="29"/>
      <c r="D24" s="29">
        <v>44971</v>
      </c>
      <c r="E24" s="28" t="s">
        <v>85</v>
      </c>
      <c r="F24" s="28" t="str">
        <f>_xlfn.XLOOKUP(Table5[[#This Row],[Customer ID]],Table4[Customer ID],Table4[Customer Name],"NA",0)</f>
        <v>Elijah Lewis</v>
      </c>
      <c r="G24" s="28" t="str">
        <f>_xlfn.XLOOKUP(Table5[[#This Row],[Customer ID]],Table4[Customer ID],Table4[Customer Type],"NA",0)</f>
        <v>Prime</v>
      </c>
      <c r="H24" s="28" t="s">
        <v>37</v>
      </c>
      <c r="I24" s="28" t="str">
        <f>_xlfn.XLOOKUP(Table5[[#This Row],[Product ID]],Table2[Product ID],Table2[Product Name],"NA",0)</f>
        <v>Jeans</v>
      </c>
      <c r="J24" s="30" t="str">
        <f>_xlfn.XLOOKUP(Table5[[#This Row],[Product ID]],Table2[Product ID],Table2[Category],"NA",0)</f>
        <v>Fashion</v>
      </c>
      <c r="K24" s="28" t="s">
        <v>50</v>
      </c>
      <c r="L24" s="28">
        <v>58</v>
      </c>
      <c r="M24" s="28">
        <v>3</v>
      </c>
      <c r="N24" s="31">
        <v>174</v>
      </c>
      <c r="O24" s="28" t="s">
        <v>41</v>
      </c>
      <c r="P24" s="28" t="s">
        <v>18</v>
      </c>
      <c r="Q24" s="28" t="s">
        <v>38</v>
      </c>
      <c r="R24" s="37" t="str">
        <f>IF(OR(Table5[[#This Row],[Delivery Status]]="Cancelled",Table5[[#This Row],[Cancel Date]]&lt;&gt;""),"Cancelled","Active")</f>
        <v>Cancelled</v>
      </c>
      <c r="S24" s="28" t="str">
        <f>IF(Table5[[#This Row],[Delivery Status]]&lt;&gt;"Delivered",
"Not Delivered",
IF(Table5[[#This Row],[Delivery Date]]-Table5[[#This Row],[Order Date]]&lt;=2,"Fast","Slow")
)</f>
        <v>Not Delivered</v>
      </c>
      <c r="T24" s="31" t="str">
        <f>IF(Table5[[#This Row],[Delivery Status]]="Delivered",
Table5[[#This Row],[Delivery Date]]-Table5[[#This Row],[Order Date]],
"")</f>
        <v/>
      </c>
      <c r="U24">
        <f>_xlfn.XLOOKUP(Table5[[#This Row],[Region]],Table3[Region],Table3[Sales Target],"NA",0)</f>
        <v>90750</v>
      </c>
    </row>
    <row r="25" spans="1:21" x14ac:dyDescent="0.25">
      <c r="A25" s="28" t="s">
        <v>86</v>
      </c>
      <c r="B25" s="29">
        <v>45232</v>
      </c>
      <c r="C25" s="29">
        <v>45235</v>
      </c>
      <c r="D25" s="29"/>
      <c r="E25" s="28" t="s">
        <v>87</v>
      </c>
      <c r="F25" s="28" t="str">
        <f>_xlfn.XLOOKUP(Table5[[#This Row],[Customer ID]],Table4[Customer ID],Table4[Customer Name],"NA",0)</f>
        <v>Lily Bennett</v>
      </c>
      <c r="G25" s="28" t="str">
        <f>_xlfn.XLOOKUP(Table5[[#This Row],[Customer ID]],Table4[Customer ID],Table4[Customer Type],"NA",0)</f>
        <v>Business</v>
      </c>
      <c r="H25" s="28" t="s">
        <v>64</v>
      </c>
      <c r="I25" s="28" t="str">
        <f>_xlfn.XLOOKUP(Table5[[#This Row],[Product ID]],Table2[Product ID],Table2[Product Name],"NA",0)</f>
        <v>Shoes</v>
      </c>
      <c r="J25" s="30" t="str">
        <f>_xlfn.XLOOKUP(Table5[[#This Row],[Product ID]],Table2[Product ID],Table2[Category],"NA",0)</f>
        <v>Fashion</v>
      </c>
      <c r="K25" s="28" t="s">
        <v>50</v>
      </c>
      <c r="L25" s="28">
        <v>96</v>
      </c>
      <c r="M25" s="28">
        <v>5</v>
      </c>
      <c r="N25" s="31">
        <v>480</v>
      </c>
      <c r="O25" s="28" t="s">
        <v>41</v>
      </c>
      <c r="P25" s="28" t="s">
        <v>25</v>
      </c>
      <c r="Q25" s="28" t="s">
        <v>38</v>
      </c>
      <c r="R25" s="37" t="str">
        <f>IF(OR(Table5[[#This Row],[Delivery Status]]="Cancelled",Table5[[#This Row],[Cancel Date]]&lt;&gt;""),"Cancelled","Active")</f>
        <v>Active</v>
      </c>
      <c r="S25" s="28" t="str">
        <f>IF(Table5[[#This Row],[Delivery Status]]&lt;&gt;"Delivered",
"Not Delivered",
IF(Table5[[#This Row],[Delivery Date]]-Table5[[#This Row],[Order Date]]&lt;=2,"Fast","Slow")
)</f>
        <v>Slow</v>
      </c>
      <c r="T25" s="31">
        <f>IF(Table5[[#This Row],[Delivery Status]]="Delivered",
Table5[[#This Row],[Delivery Date]]-Table5[[#This Row],[Order Date]],
"")</f>
        <v>3</v>
      </c>
      <c r="U25">
        <f>_xlfn.XLOOKUP(Table5[[#This Row],[Region]],Table3[Region],Table3[Sales Target],"NA",0)</f>
        <v>90750</v>
      </c>
    </row>
    <row r="26" spans="1:21" x14ac:dyDescent="0.25">
      <c r="A26" s="28" t="s">
        <v>88</v>
      </c>
      <c r="B26" s="29">
        <v>45074</v>
      </c>
      <c r="C26" s="29">
        <v>45076</v>
      </c>
      <c r="D26" s="29"/>
      <c r="E26" s="28" t="s">
        <v>89</v>
      </c>
      <c r="F26" s="28" t="str">
        <f>_xlfn.XLOOKUP(Table5[[#This Row],[Customer ID]],Table4[Customer ID],Table4[Customer Name],"NA",0)</f>
        <v>Benjamin Clark</v>
      </c>
      <c r="G26" s="28" t="str">
        <f>_xlfn.XLOOKUP(Table5[[#This Row],[Customer ID]],Table4[Customer ID],Table4[Customer Type],"NA",0)</f>
        <v>Prime</v>
      </c>
      <c r="H26" s="28" t="s">
        <v>90</v>
      </c>
      <c r="I26" s="28" t="str">
        <f>_xlfn.XLOOKUP(Table5[[#This Row],[Product ID]],Table2[Product ID],Table2[Product Name],"NA",0)</f>
        <v>Action Figure</v>
      </c>
      <c r="J26" s="30" t="str">
        <f>_xlfn.XLOOKUP(Table5[[#This Row],[Product ID]],Table2[Product ID],Table2[Category],"NA",0)</f>
        <v>Toys</v>
      </c>
      <c r="K26" s="28" t="s">
        <v>28</v>
      </c>
      <c r="L26" s="28">
        <v>43</v>
      </c>
      <c r="M26" s="28">
        <v>1</v>
      </c>
      <c r="N26" s="31">
        <v>43</v>
      </c>
      <c r="O26" s="28" t="s">
        <v>46</v>
      </c>
      <c r="P26" s="28" t="s">
        <v>25</v>
      </c>
      <c r="Q26" s="28" t="s">
        <v>38</v>
      </c>
      <c r="R26" s="37" t="str">
        <f>IF(OR(Table5[[#This Row],[Delivery Status]]="Cancelled",Table5[[#This Row],[Cancel Date]]&lt;&gt;""),"Cancelled","Active")</f>
        <v>Active</v>
      </c>
      <c r="S26" s="28" t="str">
        <f>IF(Table5[[#This Row],[Delivery Status]]&lt;&gt;"Delivered",
"Not Delivered",
IF(Table5[[#This Row],[Delivery Date]]-Table5[[#This Row],[Order Date]]&lt;=2,"Fast","Slow")
)</f>
        <v>Fast</v>
      </c>
      <c r="T26" s="31">
        <f>IF(Table5[[#This Row],[Delivery Status]]="Delivered",
Table5[[#This Row],[Delivery Date]]-Table5[[#This Row],[Order Date]],
"")</f>
        <v>2</v>
      </c>
      <c r="U26">
        <f>_xlfn.XLOOKUP(Table5[[#This Row],[Region]],Table3[Region],Table3[Sales Target],"NA",0)</f>
        <v>91500</v>
      </c>
    </row>
    <row r="27" spans="1:21" x14ac:dyDescent="0.25">
      <c r="A27" s="28" t="s">
        <v>91</v>
      </c>
      <c r="B27" s="29">
        <v>45214</v>
      </c>
      <c r="C27" s="29">
        <v>45220</v>
      </c>
      <c r="D27" s="29"/>
      <c r="E27" s="28" t="s">
        <v>36</v>
      </c>
      <c r="F27" s="28" t="str">
        <f>_xlfn.XLOOKUP(Table5[[#This Row],[Customer ID]],Table4[Customer ID],Table4[Customer Name],"NA",0)</f>
        <v>Hazel Brooks</v>
      </c>
      <c r="G27" s="28" t="str">
        <f>_xlfn.XLOOKUP(Table5[[#This Row],[Customer ID]],Table4[Customer ID],Table4[Customer Type],"NA",0)</f>
        <v>Individual</v>
      </c>
      <c r="H27" s="28" t="s">
        <v>92</v>
      </c>
      <c r="I27" s="28" t="str">
        <f>_xlfn.XLOOKUP(Table5[[#This Row],[Product ID]],Table2[Product ID],Table2[Product Name],"NA",0)</f>
        <v>Backpack</v>
      </c>
      <c r="J27" s="30" t="str">
        <f>_xlfn.XLOOKUP(Table5[[#This Row],[Product ID]],Table2[Product ID],Table2[Category],"NA",0)</f>
        <v>Fashion</v>
      </c>
      <c r="K27" s="28" t="s">
        <v>28</v>
      </c>
      <c r="L27" s="28">
        <v>64</v>
      </c>
      <c r="M27" s="28">
        <v>4</v>
      </c>
      <c r="N27" s="31">
        <v>256</v>
      </c>
      <c r="O27" s="28" t="s">
        <v>46</v>
      </c>
      <c r="P27" s="28" t="s">
        <v>25</v>
      </c>
      <c r="Q27" s="28" t="s">
        <v>30</v>
      </c>
      <c r="R27" s="37" t="str">
        <f>IF(OR(Table5[[#This Row],[Delivery Status]]="Cancelled",Table5[[#This Row],[Cancel Date]]&lt;&gt;""),"Cancelled","Active")</f>
        <v>Active</v>
      </c>
      <c r="S27" s="28" t="str">
        <f>IF(Table5[[#This Row],[Delivery Status]]&lt;&gt;"Delivered",
"Not Delivered",
IF(Table5[[#This Row],[Delivery Date]]-Table5[[#This Row],[Order Date]]&lt;=2,"Fast","Slow")
)</f>
        <v>Slow</v>
      </c>
      <c r="T27" s="31">
        <f>IF(Table5[[#This Row],[Delivery Status]]="Delivered",
Table5[[#This Row],[Delivery Date]]-Table5[[#This Row],[Order Date]],
"")</f>
        <v>6</v>
      </c>
      <c r="U27">
        <f>_xlfn.XLOOKUP(Table5[[#This Row],[Region]],Table3[Region],Table3[Sales Target],"NA",0)</f>
        <v>91500</v>
      </c>
    </row>
    <row r="28" spans="1:21" x14ac:dyDescent="0.25">
      <c r="A28" s="28" t="s">
        <v>93</v>
      </c>
      <c r="B28" s="29">
        <v>44942</v>
      </c>
      <c r="C28" s="29"/>
      <c r="D28" s="29"/>
      <c r="E28" s="28" t="s">
        <v>94</v>
      </c>
      <c r="F28" s="28" t="str">
        <f>_xlfn.XLOOKUP(Table5[[#This Row],[Customer ID]],Table4[Customer ID],Table4[Customer Name],"NA",0)</f>
        <v>Grace Scott</v>
      </c>
      <c r="G28" s="28" t="str">
        <f>_xlfn.XLOOKUP(Table5[[#This Row],[Customer ID]],Table4[Customer ID],Table4[Customer Type],"NA",0)</f>
        <v>Individual</v>
      </c>
      <c r="H28" s="28" t="s">
        <v>76</v>
      </c>
      <c r="I28" s="28" t="str">
        <f>_xlfn.XLOOKUP(Table5[[#This Row],[Product ID]],Table2[Product ID],Table2[Product Name],"NA",0)</f>
        <v>Textbook</v>
      </c>
      <c r="J28" s="30" t="str">
        <f>_xlfn.XLOOKUP(Table5[[#This Row],[Product ID]],Table2[Product ID],Table2[Category],"NA",0)</f>
        <v>Books</v>
      </c>
      <c r="K28" s="28" t="s">
        <v>28</v>
      </c>
      <c r="L28" s="28">
        <v>70</v>
      </c>
      <c r="M28" s="28">
        <v>2</v>
      </c>
      <c r="N28" s="31">
        <v>140</v>
      </c>
      <c r="O28" s="28" t="s">
        <v>41</v>
      </c>
      <c r="P28" s="28" t="s">
        <v>29</v>
      </c>
      <c r="Q28" s="28" t="s">
        <v>38</v>
      </c>
      <c r="R28" s="37" t="str">
        <f>IF(OR(Table5[[#This Row],[Delivery Status]]="Cancelled",Table5[[#This Row],[Cancel Date]]&lt;&gt;""),"Cancelled","Active")</f>
        <v>Active</v>
      </c>
      <c r="S28" s="28" t="str">
        <f>IF(Table5[[#This Row],[Delivery Status]]&lt;&gt;"Delivered",
"Not Delivered",
IF(Table5[[#This Row],[Delivery Date]]-Table5[[#This Row],[Order Date]]&lt;=2,"Fast","Slow")
)</f>
        <v>Not Delivered</v>
      </c>
      <c r="T28" s="31" t="str">
        <f>IF(Table5[[#This Row],[Delivery Status]]="Delivered",
Table5[[#This Row],[Delivery Date]]-Table5[[#This Row],[Order Date]],
"")</f>
        <v/>
      </c>
      <c r="U28">
        <f>_xlfn.XLOOKUP(Table5[[#This Row],[Region]],Table3[Region],Table3[Sales Target],"NA",0)</f>
        <v>91500</v>
      </c>
    </row>
    <row r="29" spans="1:21" x14ac:dyDescent="0.25">
      <c r="A29" s="28" t="s">
        <v>95</v>
      </c>
      <c r="B29" s="29">
        <v>45208</v>
      </c>
      <c r="C29" s="29"/>
      <c r="D29" s="29"/>
      <c r="E29" s="28" t="s">
        <v>94</v>
      </c>
      <c r="F29" s="28" t="str">
        <f>_xlfn.XLOOKUP(Table5[[#This Row],[Customer ID]],Table4[Customer ID],Table4[Customer Name],"NA",0)</f>
        <v>Grace Scott</v>
      </c>
      <c r="G29" s="28" t="str">
        <f>_xlfn.XLOOKUP(Table5[[#This Row],[Customer ID]],Table4[Customer ID],Table4[Customer Type],"NA",0)</f>
        <v>Individual</v>
      </c>
      <c r="H29" s="28" t="s">
        <v>22</v>
      </c>
      <c r="I29" s="28" t="str">
        <f>_xlfn.XLOOKUP(Table5[[#This Row],[Product ID]],Table2[Product ID],Table2[Product Name],"NA",0)</f>
        <v>Doll House</v>
      </c>
      <c r="J29" s="30" t="str">
        <f>_xlfn.XLOOKUP(Table5[[#This Row],[Product ID]],Table2[Product ID],Table2[Category],"NA",0)</f>
        <v>Toys</v>
      </c>
      <c r="K29" s="28" t="s">
        <v>45</v>
      </c>
      <c r="L29" s="28">
        <v>97</v>
      </c>
      <c r="M29" s="28">
        <v>3</v>
      </c>
      <c r="N29" s="31">
        <v>291</v>
      </c>
      <c r="O29" s="28" t="s">
        <v>24</v>
      </c>
      <c r="P29" s="28" t="s">
        <v>29</v>
      </c>
      <c r="Q29" s="28" t="s">
        <v>38</v>
      </c>
      <c r="R29" s="37" t="str">
        <f>IF(OR(Table5[[#This Row],[Delivery Status]]="Cancelled",Table5[[#This Row],[Cancel Date]]&lt;&gt;""),"Cancelled","Active")</f>
        <v>Active</v>
      </c>
      <c r="S29" s="28" t="str">
        <f>IF(Table5[[#This Row],[Delivery Status]]&lt;&gt;"Delivered",
"Not Delivered",
IF(Table5[[#This Row],[Delivery Date]]-Table5[[#This Row],[Order Date]]&lt;=2,"Fast","Slow")
)</f>
        <v>Not Delivered</v>
      </c>
      <c r="T29" s="31" t="str">
        <f>IF(Table5[[#This Row],[Delivery Status]]="Delivered",
Table5[[#This Row],[Delivery Date]]-Table5[[#This Row],[Order Date]],
"")</f>
        <v/>
      </c>
      <c r="U29">
        <f>_xlfn.XLOOKUP(Table5[[#This Row],[Region]],Table3[Region],Table3[Sales Target],"NA",0)</f>
        <v>97500</v>
      </c>
    </row>
    <row r="30" spans="1:21" x14ac:dyDescent="0.25">
      <c r="A30" s="28" t="s">
        <v>96</v>
      </c>
      <c r="B30" s="29">
        <v>45206</v>
      </c>
      <c r="C30" s="29"/>
      <c r="D30" s="29">
        <v>45209</v>
      </c>
      <c r="E30" s="28" t="s">
        <v>97</v>
      </c>
      <c r="F30" s="28" t="str">
        <f>_xlfn.XLOOKUP(Table5[[#This Row],[Customer ID]],Table4[Customer ID],Table4[Customer Name],"NA",0)</f>
        <v>Liam Walker</v>
      </c>
      <c r="G30" s="28" t="str">
        <f>_xlfn.XLOOKUP(Table5[[#This Row],[Customer ID]],Table4[Customer ID],Table4[Customer Type],"NA",0)</f>
        <v>Prime</v>
      </c>
      <c r="H30" s="28" t="s">
        <v>49</v>
      </c>
      <c r="I30" s="28" t="str">
        <f>_xlfn.XLOOKUP(Table5[[#This Row],[Product ID]],Table2[Product ID],Table2[Product Name],"NA",0)</f>
        <v>Wall Clock</v>
      </c>
      <c r="J30" s="30" t="str">
        <f>_xlfn.XLOOKUP(Table5[[#This Row],[Product ID]],Table2[Product ID],Table2[Category],"NA",0)</f>
        <v>Home</v>
      </c>
      <c r="K30" s="28" t="s">
        <v>23</v>
      </c>
      <c r="L30" s="28">
        <v>37</v>
      </c>
      <c r="M30" s="28">
        <v>3</v>
      </c>
      <c r="N30" s="31">
        <v>111</v>
      </c>
      <c r="O30" s="28" t="s">
        <v>17</v>
      </c>
      <c r="P30" s="28" t="s">
        <v>18</v>
      </c>
      <c r="Q30" s="28" t="s">
        <v>19</v>
      </c>
      <c r="R30" s="37" t="str">
        <f>IF(OR(Table5[[#This Row],[Delivery Status]]="Cancelled",Table5[[#This Row],[Cancel Date]]&lt;&gt;""),"Cancelled","Active")</f>
        <v>Cancelled</v>
      </c>
      <c r="S30" s="28" t="str">
        <f>IF(Table5[[#This Row],[Delivery Status]]&lt;&gt;"Delivered",
"Not Delivered",
IF(Table5[[#This Row],[Delivery Date]]-Table5[[#This Row],[Order Date]]&lt;=2,"Fast","Slow")
)</f>
        <v>Not Delivered</v>
      </c>
      <c r="T30" s="31" t="str">
        <f>IF(Table5[[#This Row],[Delivery Status]]="Delivered",
Table5[[#This Row],[Delivery Date]]-Table5[[#This Row],[Order Date]],
"")</f>
        <v/>
      </c>
      <c r="U30">
        <f>_xlfn.XLOOKUP(Table5[[#This Row],[Region]],Table3[Region],Table3[Sales Target],"NA",0)</f>
        <v>50500</v>
      </c>
    </row>
    <row r="31" spans="1:21" x14ac:dyDescent="0.25">
      <c r="A31" s="28" t="s">
        <v>98</v>
      </c>
      <c r="B31" s="29">
        <v>44971</v>
      </c>
      <c r="C31" s="29"/>
      <c r="D31" s="29"/>
      <c r="E31" s="28" t="s">
        <v>99</v>
      </c>
      <c r="F31" s="28" t="str">
        <f>_xlfn.XLOOKUP(Table5[[#This Row],[Customer ID]],Table4[Customer ID],Table4[Customer Name],"NA",0)</f>
        <v>Harper Young</v>
      </c>
      <c r="G31" s="28" t="str">
        <f>_xlfn.XLOOKUP(Table5[[#This Row],[Customer ID]],Table4[Customer ID],Table4[Customer Type],"NA",0)</f>
        <v>Business</v>
      </c>
      <c r="H31" s="28" t="s">
        <v>76</v>
      </c>
      <c r="I31" s="28" t="str">
        <f>_xlfn.XLOOKUP(Table5[[#This Row],[Product ID]],Table2[Product ID],Table2[Product Name],"NA",0)</f>
        <v>Textbook</v>
      </c>
      <c r="J31" s="30" t="str">
        <f>_xlfn.XLOOKUP(Table5[[#This Row],[Product ID]],Table2[Product ID],Table2[Category],"NA",0)</f>
        <v>Books</v>
      </c>
      <c r="K31" s="28" t="s">
        <v>16</v>
      </c>
      <c r="L31" s="28">
        <v>69</v>
      </c>
      <c r="M31" s="28">
        <v>5</v>
      </c>
      <c r="N31" s="31">
        <v>345</v>
      </c>
      <c r="O31" s="28" t="s">
        <v>41</v>
      </c>
      <c r="P31" s="28" t="s">
        <v>29</v>
      </c>
      <c r="Q31" s="28" t="s">
        <v>38</v>
      </c>
      <c r="R31" s="37" t="str">
        <f>IF(OR(Table5[[#This Row],[Delivery Status]]="Cancelled",Table5[[#This Row],[Cancel Date]]&lt;&gt;""),"Cancelled","Active")</f>
        <v>Active</v>
      </c>
      <c r="S31" s="28" t="str">
        <f>IF(Table5[[#This Row],[Delivery Status]]&lt;&gt;"Delivered",
"Not Delivered",
IF(Table5[[#This Row],[Delivery Date]]-Table5[[#This Row],[Order Date]]&lt;=2,"Fast","Slow")
)</f>
        <v>Not Delivered</v>
      </c>
      <c r="T31" s="31" t="str">
        <f>IF(Table5[[#This Row],[Delivery Status]]="Delivered",
Table5[[#This Row],[Delivery Date]]-Table5[[#This Row],[Order Date]],
"")</f>
        <v/>
      </c>
      <c r="U31">
        <f>_xlfn.XLOOKUP(Table5[[#This Row],[Region]],Table3[Region],Table3[Sales Target],"NA",0)</f>
        <v>105000</v>
      </c>
    </row>
    <row r="32" spans="1:21" x14ac:dyDescent="0.25">
      <c r="A32" s="28" t="s">
        <v>100</v>
      </c>
      <c r="B32" s="29">
        <v>45011</v>
      </c>
      <c r="C32" s="29"/>
      <c r="D32" s="29"/>
      <c r="E32" s="28" t="s">
        <v>101</v>
      </c>
      <c r="F32" s="28" t="str">
        <f>_xlfn.XLOOKUP(Table5[[#This Row],[Customer ID]],Table4[Customer ID],Table4[Customer Name],"NA",0)</f>
        <v>Harper Young</v>
      </c>
      <c r="G32" s="28" t="str">
        <f>_xlfn.XLOOKUP(Table5[[#This Row],[Customer ID]],Table4[Customer ID],Table4[Customer Type],"NA",0)</f>
        <v>Individual</v>
      </c>
      <c r="H32" s="28" t="s">
        <v>90</v>
      </c>
      <c r="I32" s="28" t="str">
        <f>_xlfn.XLOOKUP(Table5[[#This Row],[Product ID]],Table2[Product ID],Table2[Product Name],"NA",0)</f>
        <v>Action Figure</v>
      </c>
      <c r="J32" s="30" t="str">
        <f>_xlfn.XLOOKUP(Table5[[#This Row],[Product ID]],Table2[Product ID],Table2[Category],"NA",0)</f>
        <v>Toys</v>
      </c>
      <c r="K32" s="28" t="s">
        <v>16</v>
      </c>
      <c r="L32" s="28">
        <v>42</v>
      </c>
      <c r="M32" s="28">
        <v>5</v>
      </c>
      <c r="N32" s="31">
        <v>210</v>
      </c>
      <c r="O32" s="28" t="s">
        <v>41</v>
      </c>
      <c r="P32" s="28" t="s">
        <v>29</v>
      </c>
      <c r="Q32" s="28" t="s">
        <v>34</v>
      </c>
      <c r="R32" s="37" t="str">
        <f>IF(OR(Table5[[#This Row],[Delivery Status]]="Cancelled",Table5[[#This Row],[Cancel Date]]&lt;&gt;""),"Cancelled","Active")</f>
        <v>Active</v>
      </c>
      <c r="S32" s="28" t="str">
        <f>IF(Table5[[#This Row],[Delivery Status]]&lt;&gt;"Delivered",
"Not Delivered",
IF(Table5[[#This Row],[Delivery Date]]-Table5[[#This Row],[Order Date]]&lt;=2,"Fast","Slow")
)</f>
        <v>Not Delivered</v>
      </c>
      <c r="T32" s="31" t="str">
        <f>IF(Table5[[#This Row],[Delivery Status]]="Delivered",
Table5[[#This Row],[Delivery Date]]-Table5[[#This Row],[Order Date]],
"")</f>
        <v/>
      </c>
      <c r="U32">
        <f>_xlfn.XLOOKUP(Table5[[#This Row],[Region]],Table3[Region],Table3[Sales Target],"NA",0)</f>
        <v>105000</v>
      </c>
    </row>
    <row r="33" spans="1:21" x14ac:dyDescent="0.25">
      <c r="A33" s="28" t="s">
        <v>102</v>
      </c>
      <c r="B33" s="29">
        <v>45092</v>
      </c>
      <c r="C33" s="29"/>
      <c r="D33" s="29">
        <v>45099</v>
      </c>
      <c r="E33" s="28" t="s">
        <v>103</v>
      </c>
      <c r="F33" s="28" t="str">
        <f>_xlfn.XLOOKUP(Table5[[#This Row],[Customer ID]],Table4[Customer ID],Table4[Customer Name],"NA",0)</f>
        <v>Emily Johnson</v>
      </c>
      <c r="G33" s="28" t="str">
        <f>_xlfn.XLOOKUP(Table5[[#This Row],[Customer ID]],Table4[Customer ID],Table4[Customer Type],"NA",0)</f>
        <v>Individual</v>
      </c>
      <c r="H33" s="28" t="s">
        <v>104</v>
      </c>
      <c r="I33" s="28" t="str">
        <f>_xlfn.XLOOKUP(Table5[[#This Row],[Product ID]],Table2[Product ID],Table2[Product Name],"NA",0)</f>
        <v>Magazine</v>
      </c>
      <c r="J33" s="30" t="str">
        <f>_xlfn.XLOOKUP(Table5[[#This Row],[Product ID]],Table2[Product ID],Table2[Category],"NA",0)</f>
        <v>Books</v>
      </c>
      <c r="K33" s="28" t="s">
        <v>23</v>
      </c>
      <c r="L33" s="28">
        <v>11</v>
      </c>
      <c r="M33" s="28">
        <v>5</v>
      </c>
      <c r="N33" s="31">
        <v>55</v>
      </c>
      <c r="O33" s="28" t="s">
        <v>46</v>
      </c>
      <c r="P33" s="28" t="s">
        <v>18</v>
      </c>
      <c r="Q33" s="28" t="s">
        <v>61</v>
      </c>
      <c r="R33" s="37" t="str">
        <f>IF(OR(Table5[[#This Row],[Delivery Status]]="Cancelled",Table5[[#This Row],[Cancel Date]]&lt;&gt;""),"Cancelled","Active")</f>
        <v>Cancelled</v>
      </c>
      <c r="S33" s="28" t="str">
        <f>IF(Table5[[#This Row],[Delivery Status]]&lt;&gt;"Delivered",
"Not Delivered",
IF(Table5[[#This Row],[Delivery Date]]-Table5[[#This Row],[Order Date]]&lt;=2,"Fast","Slow")
)</f>
        <v>Not Delivered</v>
      </c>
      <c r="T33" s="31" t="str">
        <f>IF(Table5[[#This Row],[Delivery Status]]="Delivered",
Table5[[#This Row],[Delivery Date]]-Table5[[#This Row],[Order Date]],
"")</f>
        <v/>
      </c>
      <c r="U33">
        <f>_xlfn.XLOOKUP(Table5[[#This Row],[Region]],Table3[Region],Table3[Sales Target],"NA",0)</f>
        <v>50500</v>
      </c>
    </row>
    <row r="34" spans="1:21" x14ac:dyDescent="0.25">
      <c r="A34" s="28" t="s">
        <v>105</v>
      </c>
      <c r="B34" s="29">
        <v>45068</v>
      </c>
      <c r="C34" s="29">
        <v>45069</v>
      </c>
      <c r="D34" s="29"/>
      <c r="E34" s="28" t="s">
        <v>85</v>
      </c>
      <c r="F34" s="28" t="str">
        <f>_xlfn.XLOOKUP(Table5[[#This Row],[Customer ID]],Table4[Customer ID],Table4[Customer Name],"NA",0)</f>
        <v>Elijah Lewis</v>
      </c>
      <c r="G34" s="28" t="str">
        <f>_xlfn.XLOOKUP(Table5[[#This Row],[Customer ID]],Table4[Customer ID],Table4[Customer Type],"NA",0)</f>
        <v>Prime</v>
      </c>
      <c r="H34" s="28" t="s">
        <v>69</v>
      </c>
      <c r="I34" s="28" t="str">
        <f>_xlfn.XLOOKUP(Table5[[#This Row],[Product ID]],Table2[Product ID],Table2[Product Name],"NA",0)</f>
        <v>T-Shirt</v>
      </c>
      <c r="J34" s="30" t="str">
        <f>_xlfn.XLOOKUP(Table5[[#This Row],[Product ID]],Table2[Product ID],Table2[Category],"NA",0)</f>
        <v>Fashion</v>
      </c>
      <c r="K34" s="28" t="s">
        <v>28</v>
      </c>
      <c r="L34" s="28">
        <v>27</v>
      </c>
      <c r="M34" s="28">
        <v>2</v>
      </c>
      <c r="N34" s="31">
        <v>54</v>
      </c>
      <c r="O34" s="28" t="s">
        <v>17</v>
      </c>
      <c r="P34" s="28" t="s">
        <v>25</v>
      </c>
      <c r="Q34" s="28" t="s">
        <v>30</v>
      </c>
      <c r="R34" s="37" t="str">
        <f>IF(OR(Table5[[#This Row],[Delivery Status]]="Cancelled",Table5[[#This Row],[Cancel Date]]&lt;&gt;""),"Cancelled","Active")</f>
        <v>Active</v>
      </c>
      <c r="S34" s="28" t="str">
        <f>IF(Table5[[#This Row],[Delivery Status]]&lt;&gt;"Delivered",
"Not Delivered",
IF(Table5[[#This Row],[Delivery Date]]-Table5[[#This Row],[Order Date]]&lt;=2,"Fast","Slow")
)</f>
        <v>Fast</v>
      </c>
      <c r="T34" s="31">
        <f>IF(Table5[[#This Row],[Delivery Status]]="Delivered",
Table5[[#This Row],[Delivery Date]]-Table5[[#This Row],[Order Date]],
"")</f>
        <v>1</v>
      </c>
      <c r="U34">
        <f>_xlfn.XLOOKUP(Table5[[#This Row],[Region]],Table3[Region],Table3[Sales Target],"NA",0)</f>
        <v>91500</v>
      </c>
    </row>
    <row r="35" spans="1:21" x14ac:dyDescent="0.25">
      <c r="A35" s="28" t="s">
        <v>106</v>
      </c>
      <c r="B35" s="29">
        <v>45250</v>
      </c>
      <c r="C35" s="29"/>
      <c r="D35" s="29"/>
      <c r="E35" s="28" t="s">
        <v>80</v>
      </c>
      <c r="F35" s="28" t="str">
        <f>_xlfn.XLOOKUP(Table5[[#This Row],[Customer ID]],Table4[Customer ID],Table4[Customer Name],"NA",0)</f>
        <v>Emma King</v>
      </c>
      <c r="G35" s="28" t="str">
        <f>_xlfn.XLOOKUP(Table5[[#This Row],[Customer ID]],Table4[Customer ID],Table4[Customer Type],"NA",0)</f>
        <v>Individual</v>
      </c>
      <c r="H35" s="28" t="s">
        <v>73</v>
      </c>
      <c r="I35" s="28" t="str">
        <f>_xlfn.XLOOKUP(Table5[[#This Row],[Product ID]],Table2[Product ID],Table2[Product Name],"NA",0)</f>
        <v>Novel</v>
      </c>
      <c r="J35" s="30" t="str">
        <f>_xlfn.XLOOKUP(Table5[[#This Row],[Product ID]],Table2[Product ID],Table2[Category],"NA",0)</f>
        <v>Books</v>
      </c>
      <c r="K35" s="28" t="s">
        <v>28</v>
      </c>
      <c r="L35" s="28">
        <v>21</v>
      </c>
      <c r="M35" s="28">
        <v>1</v>
      </c>
      <c r="N35" s="31">
        <v>21</v>
      </c>
      <c r="O35" s="28" t="s">
        <v>41</v>
      </c>
      <c r="P35" s="28" t="s">
        <v>29</v>
      </c>
      <c r="Q35" s="28" t="s">
        <v>19</v>
      </c>
      <c r="R35" s="37" t="str">
        <f>IF(OR(Table5[[#This Row],[Delivery Status]]="Cancelled",Table5[[#This Row],[Cancel Date]]&lt;&gt;""),"Cancelled","Active")</f>
        <v>Active</v>
      </c>
      <c r="S35" s="28" t="str">
        <f>IF(Table5[[#This Row],[Delivery Status]]&lt;&gt;"Delivered",
"Not Delivered",
IF(Table5[[#This Row],[Delivery Date]]-Table5[[#This Row],[Order Date]]&lt;=2,"Fast","Slow")
)</f>
        <v>Not Delivered</v>
      </c>
      <c r="T35" s="31" t="str">
        <f>IF(Table5[[#This Row],[Delivery Status]]="Delivered",
Table5[[#This Row],[Delivery Date]]-Table5[[#This Row],[Order Date]],
"")</f>
        <v/>
      </c>
      <c r="U35">
        <f>_xlfn.XLOOKUP(Table5[[#This Row],[Region]],Table3[Region],Table3[Sales Target],"NA",0)</f>
        <v>91500</v>
      </c>
    </row>
    <row r="36" spans="1:21" x14ac:dyDescent="0.25">
      <c r="A36" s="28" t="s">
        <v>107</v>
      </c>
      <c r="B36" s="29">
        <v>45282</v>
      </c>
      <c r="C36" s="29">
        <v>45286</v>
      </c>
      <c r="D36" s="29"/>
      <c r="E36" s="28" t="s">
        <v>108</v>
      </c>
      <c r="F36" s="28" t="str">
        <f>_xlfn.XLOOKUP(Table5[[#This Row],[Customer ID]],Table4[Customer ID],Table4[Customer Name],"NA",0)</f>
        <v>Luke Gray</v>
      </c>
      <c r="G36" s="28" t="str">
        <f>_xlfn.XLOOKUP(Table5[[#This Row],[Customer ID]],Table4[Customer ID],Table4[Customer Type],"NA",0)</f>
        <v>Business</v>
      </c>
      <c r="H36" s="28" t="s">
        <v>109</v>
      </c>
      <c r="I36" s="28" t="str">
        <f>_xlfn.XLOOKUP(Table5[[#This Row],[Product ID]],Table2[Product ID],Table2[Product Name],"NA",0)</f>
        <v>Headphones</v>
      </c>
      <c r="J36" s="30" t="str">
        <f>_xlfn.XLOOKUP(Table5[[#This Row],[Product ID]],Table2[Product ID],Table2[Category],"NA",0)</f>
        <v>Electronics</v>
      </c>
      <c r="K36" s="28" t="s">
        <v>28</v>
      </c>
      <c r="L36" s="28">
        <v>172</v>
      </c>
      <c r="M36" s="28">
        <v>1</v>
      </c>
      <c r="N36" s="31">
        <v>172</v>
      </c>
      <c r="O36" s="28" t="s">
        <v>33</v>
      </c>
      <c r="P36" s="28" t="s">
        <v>25</v>
      </c>
      <c r="Q36" s="28" t="s">
        <v>30</v>
      </c>
      <c r="R36" s="37" t="str">
        <f>IF(OR(Table5[[#This Row],[Delivery Status]]="Cancelled",Table5[[#This Row],[Cancel Date]]&lt;&gt;""),"Cancelled","Active")</f>
        <v>Active</v>
      </c>
      <c r="S36" s="28" t="str">
        <f>IF(Table5[[#This Row],[Delivery Status]]&lt;&gt;"Delivered",
"Not Delivered",
IF(Table5[[#This Row],[Delivery Date]]-Table5[[#This Row],[Order Date]]&lt;=2,"Fast","Slow")
)</f>
        <v>Slow</v>
      </c>
      <c r="T36" s="31">
        <f>IF(Table5[[#This Row],[Delivery Status]]="Delivered",
Table5[[#This Row],[Delivery Date]]-Table5[[#This Row],[Order Date]],
"")</f>
        <v>4</v>
      </c>
      <c r="U36">
        <f>_xlfn.XLOOKUP(Table5[[#This Row],[Region]],Table3[Region],Table3[Sales Target],"NA",0)</f>
        <v>91500</v>
      </c>
    </row>
    <row r="37" spans="1:21" x14ac:dyDescent="0.25">
      <c r="A37" s="28" t="s">
        <v>110</v>
      </c>
      <c r="B37" s="29">
        <v>45130</v>
      </c>
      <c r="C37" s="29"/>
      <c r="D37" s="29"/>
      <c r="E37" s="28" t="s">
        <v>101</v>
      </c>
      <c r="F37" s="28" t="str">
        <f>_xlfn.XLOOKUP(Table5[[#This Row],[Customer ID]],Table4[Customer ID],Table4[Customer Name],"NA",0)</f>
        <v>Harper Young</v>
      </c>
      <c r="G37" s="28" t="str">
        <f>_xlfn.XLOOKUP(Table5[[#This Row],[Customer ID]],Table4[Customer ID],Table4[Customer Type],"NA",0)</f>
        <v>Individual</v>
      </c>
      <c r="H37" s="28" t="s">
        <v>111</v>
      </c>
      <c r="I37" s="28" t="str">
        <f>_xlfn.XLOOKUP(Table5[[#This Row],[Product ID]],Table2[Product ID],Table2[Product Name],"NA",0)</f>
        <v>Cookware Set Pro</v>
      </c>
      <c r="J37" s="30" t="str">
        <f>_xlfn.XLOOKUP(Table5[[#This Row],[Product ID]],Table2[Product ID],Table2[Category],"NA",0)</f>
        <v>Home</v>
      </c>
      <c r="K37" s="28" t="s">
        <v>16</v>
      </c>
      <c r="L37" s="28">
        <v>212</v>
      </c>
      <c r="M37" s="28">
        <v>3</v>
      </c>
      <c r="N37" s="31">
        <v>636</v>
      </c>
      <c r="O37" s="28" t="s">
        <v>41</v>
      </c>
      <c r="P37" s="28" t="s">
        <v>29</v>
      </c>
      <c r="Q37" s="28" t="s">
        <v>34</v>
      </c>
      <c r="R37" s="37" t="str">
        <f>IF(OR(Table5[[#This Row],[Delivery Status]]="Cancelled",Table5[[#This Row],[Cancel Date]]&lt;&gt;""),"Cancelled","Active")</f>
        <v>Active</v>
      </c>
      <c r="S37" s="28" t="str">
        <f>IF(Table5[[#This Row],[Delivery Status]]&lt;&gt;"Delivered",
"Not Delivered",
IF(Table5[[#This Row],[Delivery Date]]-Table5[[#This Row],[Order Date]]&lt;=2,"Fast","Slow")
)</f>
        <v>Not Delivered</v>
      </c>
      <c r="T37" s="31" t="str">
        <f>IF(Table5[[#This Row],[Delivery Status]]="Delivered",
Table5[[#This Row],[Delivery Date]]-Table5[[#This Row],[Order Date]],
"")</f>
        <v/>
      </c>
      <c r="U37">
        <f>_xlfn.XLOOKUP(Table5[[#This Row],[Region]],Table3[Region],Table3[Sales Target],"NA",0)</f>
        <v>105000</v>
      </c>
    </row>
    <row r="38" spans="1:21" x14ac:dyDescent="0.25">
      <c r="A38" s="28" t="s">
        <v>112</v>
      </c>
      <c r="B38" s="29">
        <v>45216</v>
      </c>
      <c r="C38" s="29">
        <v>45221</v>
      </c>
      <c r="D38" s="29"/>
      <c r="E38" s="28" t="s">
        <v>32</v>
      </c>
      <c r="F38" s="28" t="str">
        <f>_xlfn.XLOOKUP(Table5[[#This Row],[Customer ID]],Table4[Customer ID],Table4[Customer Name],"NA",0)</f>
        <v>Grace Ward</v>
      </c>
      <c r="G38" s="28" t="str">
        <f>_xlfn.XLOOKUP(Table5[[#This Row],[Customer ID]],Table4[Customer ID],Table4[Customer Type],"NA",0)</f>
        <v>Business</v>
      </c>
      <c r="H38" s="28" t="s">
        <v>90</v>
      </c>
      <c r="I38" s="28" t="str">
        <f>_xlfn.XLOOKUP(Table5[[#This Row],[Product ID]],Table2[Product ID],Table2[Product Name],"NA",0)</f>
        <v>Action Figure</v>
      </c>
      <c r="J38" s="30" t="str">
        <f>_xlfn.XLOOKUP(Table5[[#This Row],[Product ID]],Table2[Product ID],Table2[Category],"NA",0)</f>
        <v>Toys</v>
      </c>
      <c r="K38" s="28" t="s">
        <v>23</v>
      </c>
      <c r="L38" s="28">
        <v>41</v>
      </c>
      <c r="M38" s="28">
        <v>4</v>
      </c>
      <c r="N38" s="31">
        <v>164</v>
      </c>
      <c r="O38" s="28" t="s">
        <v>24</v>
      </c>
      <c r="P38" s="28" t="s">
        <v>25</v>
      </c>
      <c r="Q38" s="28" t="s">
        <v>38</v>
      </c>
      <c r="R38" s="37" t="str">
        <f>IF(OR(Table5[[#This Row],[Delivery Status]]="Cancelled",Table5[[#This Row],[Cancel Date]]&lt;&gt;""),"Cancelled","Active")</f>
        <v>Active</v>
      </c>
      <c r="S38" s="28" t="str">
        <f>IF(Table5[[#This Row],[Delivery Status]]&lt;&gt;"Delivered",
"Not Delivered",
IF(Table5[[#This Row],[Delivery Date]]-Table5[[#This Row],[Order Date]]&lt;=2,"Fast","Slow")
)</f>
        <v>Slow</v>
      </c>
      <c r="T38" s="31">
        <f>IF(Table5[[#This Row],[Delivery Status]]="Delivered",
Table5[[#This Row],[Delivery Date]]-Table5[[#This Row],[Order Date]],
"")</f>
        <v>5</v>
      </c>
      <c r="U38">
        <f>_xlfn.XLOOKUP(Table5[[#This Row],[Region]],Table3[Region],Table3[Sales Target],"NA",0)</f>
        <v>50500</v>
      </c>
    </row>
    <row r="39" spans="1:21" x14ac:dyDescent="0.25">
      <c r="A39" s="28" t="s">
        <v>113</v>
      </c>
      <c r="B39" s="29">
        <v>45160</v>
      </c>
      <c r="C39" s="29"/>
      <c r="D39" s="29">
        <v>45162</v>
      </c>
      <c r="E39" s="28" t="s">
        <v>87</v>
      </c>
      <c r="F39" s="28" t="str">
        <f>_xlfn.XLOOKUP(Table5[[#This Row],[Customer ID]],Table4[Customer ID],Table4[Customer Name],"NA",0)</f>
        <v>Lily Bennett</v>
      </c>
      <c r="G39" s="28" t="str">
        <f>_xlfn.XLOOKUP(Table5[[#This Row],[Customer ID]],Table4[Customer ID],Table4[Customer Type],"NA",0)</f>
        <v>Business</v>
      </c>
      <c r="H39" s="28" t="s">
        <v>114</v>
      </c>
      <c r="I39" s="28" t="str">
        <f>_xlfn.XLOOKUP(Table5[[#This Row],[Product ID]],Table2[Product ID],Table2[Product Name],"NA",0)</f>
        <v>Puzzle</v>
      </c>
      <c r="J39" s="30" t="str">
        <f>_xlfn.XLOOKUP(Table5[[#This Row],[Product ID]],Table2[Product ID],Table2[Category],"NA",0)</f>
        <v>Toys</v>
      </c>
      <c r="K39" s="28" t="s">
        <v>16</v>
      </c>
      <c r="L39" s="28">
        <v>32</v>
      </c>
      <c r="M39" s="28">
        <v>2</v>
      </c>
      <c r="N39" s="31">
        <v>64</v>
      </c>
      <c r="O39" s="28" t="s">
        <v>46</v>
      </c>
      <c r="P39" s="28" t="s">
        <v>18</v>
      </c>
      <c r="Q39" s="28" t="s">
        <v>61</v>
      </c>
      <c r="R39" s="37" t="str">
        <f>IF(OR(Table5[[#This Row],[Delivery Status]]="Cancelled",Table5[[#This Row],[Cancel Date]]&lt;&gt;""),"Cancelled","Active")</f>
        <v>Cancelled</v>
      </c>
      <c r="S39" s="28" t="str">
        <f>IF(Table5[[#This Row],[Delivery Status]]&lt;&gt;"Delivered",
"Not Delivered",
IF(Table5[[#This Row],[Delivery Date]]-Table5[[#This Row],[Order Date]]&lt;=2,"Fast","Slow")
)</f>
        <v>Not Delivered</v>
      </c>
      <c r="T39" s="31" t="str">
        <f>IF(Table5[[#This Row],[Delivery Status]]="Delivered",
Table5[[#This Row],[Delivery Date]]-Table5[[#This Row],[Order Date]],
"")</f>
        <v/>
      </c>
      <c r="U39">
        <f>_xlfn.XLOOKUP(Table5[[#This Row],[Region]],Table3[Region],Table3[Sales Target],"NA",0)</f>
        <v>105000</v>
      </c>
    </row>
    <row r="40" spans="1:21" x14ac:dyDescent="0.25">
      <c r="A40" s="28" t="s">
        <v>115</v>
      </c>
      <c r="B40" s="29">
        <v>45262</v>
      </c>
      <c r="C40" s="29"/>
      <c r="D40" s="29"/>
      <c r="E40" s="28" t="s">
        <v>116</v>
      </c>
      <c r="F40" s="28" t="str">
        <f>_xlfn.XLOOKUP(Table5[[#This Row],[Customer ID]],Table4[Customer ID],Table4[Customer Name],"NA",0)</f>
        <v>Scarlett Murphy</v>
      </c>
      <c r="G40" s="28" t="str">
        <f>_xlfn.XLOOKUP(Table5[[#This Row],[Customer ID]],Table4[Customer ID],Table4[Customer Type],"NA",0)</f>
        <v>Business</v>
      </c>
      <c r="H40" s="28" t="s">
        <v>92</v>
      </c>
      <c r="I40" s="28" t="str">
        <f>_xlfn.XLOOKUP(Table5[[#This Row],[Product ID]],Table2[Product ID],Table2[Product Name],"NA",0)</f>
        <v>Backpack</v>
      </c>
      <c r="J40" s="30" t="str">
        <f>_xlfn.XLOOKUP(Table5[[#This Row],[Product ID]],Table2[Product ID],Table2[Category],"NA",0)</f>
        <v>Fashion</v>
      </c>
      <c r="K40" s="28" t="s">
        <v>23</v>
      </c>
      <c r="L40" s="28">
        <v>66</v>
      </c>
      <c r="M40" s="28">
        <v>2</v>
      </c>
      <c r="N40" s="31">
        <v>132</v>
      </c>
      <c r="O40" s="28" t="s">
        <v>17</v>
      </c>
      <c r="P40" s="28" t="s">
        <v>29</v>
      </c>
      <c r="Q40" s="28" t="s">
        <v>19</v>
      </c>
      <c r="R40" s="37" t="str">
        <f>IF(OR(Table5[[#This Row],[Delivery Status]]="Cancelled",Table5[[#This Row],[Cancel Date]]&lt;&gt;""),"Cancelled","Active")</f>
        <v>Active</v>
      </c>
      <c r="S40" s="28" t="str">
        <f>IF(Table5[[#This Row],[Delivery Status]]&lt;&gt;"Delivered",
"Not Delivered",
IF(Table5[[#This Row],[Delivery Date]]-Table5[[#This Row],[Order Date]]&lt;=2,"Fast","Slow")
)</f>
        <v>Not Delivered</v>
      </c>
      <c r="T40" s="31" t="str">
        <f>IF(Table5[[#This Row],[Delivery Status]]="Delivered",
Table5[[#This Row],[Delivery Date]]-Table5[[#This Row],[Order Date]],
"")</f>
        <v/>
      </c>
      <c r="U40">
        <f>_xlfn.XLOOKUP(Table5[[#This Row],[Region]],Table3[Region],Table3[Sales Target],"NA",0)</f>
        <v>50500</v>
      </c>
    </row>
    <row r="41" spans="1:21" x14ac:dyDescent="0.25">
      <c r="A41" s="28" t="s">
        <v>117</v>
      </c>
      <c r="B41" s="29">
        <v>45285</v>
      </c>
      <c r="C41" s="29"/>
      <c r="D41" s="29"/>
      <c r="E41" s="28" t="s">
        <v>118</v>
      </c>
      <c r="F41" s="28" t="str">
        <f>_xlfn.XLOOKUP(Table5[[#This Row],[Customer ID]],Table4[Customer ID],Table4[Customer Name],"NA",0)</f>
        <v>Ava Robinson</v>
      </c>
      <c r="G41" s="28" t="str">
        <f>_xlfn.XLOOKUP(Table5[[#This Row],[Customer ID]],Table4[Customer ID],Table4[Customer Type],"NA",0)</f>
        <v>Prime</v>
      </c>
      <c r="H41" s="28" t="s">
        <v>119</v>
      </c>
      <c r="I41" s="28" t="str">
        <f>_xlfn.XLOOKUP(Table5[[#This Row],[Product ID]],Table2[Product ID],Table2[Product Name],"NA",0)</f>
        <v>Leg Set</v>
      </c>
      <c r="J41" s="30" t="str">
        <f>_xlfn.XLOOKUP(Table5[[#This Row],[Product ID]],Table2[Product ID],Table2[Category],"NA",0)</f>
        <v>Toys</v>
      </c>
      <c r="K41" s="28" t="s">
        <v>23</v>
      </c>
      <c r="L41" s="28">
        <v>62</v>
      </c>
      <c r="M41" s="28">
        <v>4</v>
      </c>
      <c r="N41" s="31">
        <v>248</v>
      </c>
      <c r="O41" s="28" t="s">
        <v>46</v>
      </c>
      <c r="P41" s="28" t="s">
        <v>29</v>
      </c>
      <c r="Q41" s="28" t="s">
        <v>34</v>
      </c>
      <c r="R41" s="37" t="str">
        <f>IF(OR(Table5[[#This Row],[Delivery Status]]="Cancelled",Table5[[#This Row],[Cancel Date]]&lt;&gt;""),"Cancelled","Active")</f>
        <v>Active</v>
      </c>
      <c r="S41" s="28" t="str">
        <f>IF(Table5[[#This Row],[Delivery Status]]&lt;&gt;"Delivered",
"Not Delivered",
IF(Table5[[#This Row],[Delivery Date]]-Table5[[#This Row],[Order Date]]&lt;=2,"Fast","Slow")
)</f>
        <v>Not Delivered</v>
      </c>
      <c r="T41" s="31" t="str">
        <f>IF(Table5[[#This Row],[Delivery Status]]="Delivered",
Table5[[#This Row],[Delivery Date]]-Table5[[#This Row],[Order Date]],
"")</f>
        <v/>
      </c>
      <c r="U41">
        <f>_xlfn.XLOOKUP(Table5[[#This Row],[Region]],Table3[Region],Table3[Sales Target],"NA",0)</f>
        <v>50500</v>
      </c>
    </row>
    <row r="42" spans="1:21" x14ac:dyDescent="0.25">
      <c r="A42" s="28" t="s">
        <v>120</v>
      </c>
      <c r="B42" s="29">
        <v>45192</v>
      </c>
      <c r="C42" s="29">
        <v>45199</v>
      </c>
      <c r="D42" s="29"/>
      <c r="E42" s="28" t="s">
        <v>121</v>
      </c>
      <c r="F42" s="28" t="str">
        <f>_xlfn.XLOOKUP(Table5[[#This Row],[Customer ID]],Table4[Customer ID],Table4[Customer Name],"NA",0)</f>
        <v>James Miller</v>
      </c>
      <c r="G42" s="28" t="str">
        <f>_xlfn.XLOOKUP(Table5[[#This Row],[Customer ID]],Table4[Customer ID],Table4[Customer Type],"NA",0)</f>
        <v>Business</v>
      </c>
      <c r="H42" s="28" t="s">
        <v>109</v>
      </c>
      <c r="I42" s="28" t="str">
        <f>_xlfn.XLOOKUP(Table5[[#This Row],[Product ID]],Table2[Product ID],Table2[Product Name],"NA",0)</f>
        <v>Headphones</v>
      </c>
      <c r="J42" s="30" t="str">
        <f>_xlfn.XLOOKUP(Table5[[#This Row],[Product ID]],Table2[Product ID],Table2[Category],"NA",0)</f>
        <v>Electronics</v>
      </c>
      <c r="K42" s="28" t="s">
        <v>50</v>
      </c>
      <c r="L42" s="28">
        <v>173</v>
      </c>
      <c r="M42" s="28">
        <v>4</v>
      </c>
      <c r="N42" s="31">
        <v>692</v>
      </c>
      <c r="O42" s="28" t="s">
        <v>17</v>
      </c>
      <c r="P42" s="28" t="s">
        <v>25</v>
      </c>
      <c r="Q42" s="28" t="s">
        <v>34</v>
      </c>
      <c r="R42" s="37" t="str">
        <f>IF(OR(Table5[[#This Row],[Delivery Status]]="Cancelled",Table5[[#This Row],[Cancel Date]]&lt;&gt;""),"Cancelled","Active")</f>
        <v>Active</v>
      </c>
      <c r="S42" s="28" t="str">
        <f>IF(Table5[[#This Row],[Delivery Status]]&lt;&gt;"Delivered",
"Not Delivered",
IF(Table5[[#This Row],[Delivery Date]]-Table5[[#This Row],[Order Date]]&lt;=2,"Fast","Slow")
)</f>
        <v>Slow</v>
      </c>
      <c r="T42" s="31">
        <f>IF(Table5[[#This Row],[Delivery Status]]="Delivered",
Table5[[#This Row],[Delivery Date]]-Table5[[#This Row],[Order Date]],
"")</f>
        <v>7</v>
      </c>
      <c r="U42">
        <f>_xlfn.XLOOKUP(Table5[[#This Row],[Region]],Table3[Region],Table3[Sales Target],"NA",0)</f>
        <v>90750</v>
      </c>
    </row>
    <row r="43" spans="1:21" x14ac:dyDescent="0.25">
      <c r="A43" s="28" t="s">
        <v>122</v>
      </c>
      <c r="B43" s="29">
        <v>45123</v>
      </c>
      <c r="C43" s="29">
        <v>45125</v>
      </c>
      <c r="D43" s="29"/>
      <c r="E43" s="28" t="s">
        <v>97</v>
      </c>
      <c r="F43" s="28" t="str">
        <f>_xlfn.XLOOKUP(Table5[[#This Row],[Customer ID]],Table4[Customer ID],Table4[Customer Name],"NA",0)</f>
        <v>Liam Walker</v>
      </c>
      <c r="G43" s="28" t="str">
        <f>_xlfn.XLOOKUP(Table5[[#This Row],[Customer ID]],Table4[Customer ID],Table4[Customer Type],"NA",0)</f>
        <v>Prime</v>
      </c>
      <c r="H43" s="28" t="s">
        <v>119</v>
      </c>
      <c r="I43" s="28" t="str">
        <f>_xlfn.XLOOKUP(Table5[[#This Row],[Product ID]],Table2[Product ID],Table2[Product Name],"NA",0)</f>
        <v>Leg Set</v>
      </c>
      <c r="J43" s="30" t="str">
        <f>_xlfn.XLOOKUP(Table5[[#This Row],[Product ID]],Table2[Product ID],Table2[Category],"NA",0)</f>
        <v>Toys</v>
      </c>
      <c r="K43" s="28" t="s">
        <v>50</v>
      </c>
      <c r="L43" s="28">
        <v>63</v>
      </c>
      <c r="M43" s="28">
        <v>3</v>
      </c>
      <c r="N43" s="31">
        <v>189</v>
      </c>
      <c r="O43" s="28" t="s">
        <v>17</v>
      </c>
      <c r="P43" s="28" t="s">
        <v>25</v>
      </c>
      <c r="Q43" s="28" t="s">
        <v>34</v>
      </c>
      <c r="R43" s="37" t="str">
        <f>IF(OR(Table5[[#This Row],[Delivery Status]]="Cancelled",Table5[[#This Row],[Cancel Date]]&lt;&gt;""),"Cancelled","Active")</f>
        <v>Active</v>
      </c>
      <c r="S43" s="28" t="str">
        <f>IF(Table5[[#This Row],[Delivery Status]]&lt;&gt;"Delivered",
"Not Delivered",
IF(Table5[[#This Row],[Delivery Date]]-Table5[[#This Row],[Order Date]]&lt;=2,"Fast","Slow")
)</f>
        <v>Fast</v>
      </c>
      <c r="T43" s="31">
        <f>IF(Table5[[#This Row],[Delivery Status]]="Delivered",
Table5[[#This Row],[Delivery Date]]-Table5[[#This Row],[Order Date]],
"")</f>
        <v>2</v>
      </c>
      <c r="U43">
        <f>_xlfn.XLOOKUP(Table5[[#This Row],[Region]],Table3[Region],Table3[Sales Target],"NA",0)</f>
        <v>90750</v>
      </c>
    </row>
    <row r="44" spans="1:21" x14ac:dyDescent="0.25">
      <c r="A44" s="28" t="s">
        <v>123</v>
      </c>
      <c r="B44" s="29">
        <v>44962</v>
      </c>
      <c r="C44" s="29"/>
      <c r="D44" s="29">
        <v>44968</v>
      </c>
      <c r="E44" s="28" t="s">
        <v>89</v>
      </c>
      <c r="F44" s="28" t="str">
        <f>_xlfn.XLOOKUP(Table5[[#This Row],[Customer ID]],Table4[Customer ID],Table4[Customer Name],"NA",0)</f>
        <v>Benjamin Clark</v>
      </c>
      <c r="G44" s="28" t="str">
        <f>_xlfn.XLOOKUP(Table5[[#This Row],[Customer ID]],Table4[Customer ID],Table4[Customer Type],"NA",0)</f>
        <v>Prime</v>
      </c>
      <c r="H44" s="28" t="s">
        <v>49</v>
      </c>
      <c r="I44" s="28" t="str">
        <f>_xlfn.XLOOKUP(Table5[[#This Row],[Product ID]],Table2[Product ID],Table2[Product Name],"NA",0)</f>
        <v>Wall Clock</v>
      </c>
      <c r="J44" s="30" t="str">
        <f>_xlfn.XLOOKUP(Table5[[#This Row],[Product ID]],Table2[Product ID],Table2[Category],"NA",0)</f>
        <v>Home</v>
      </c>
      <c r="K44" s="28" t="s">
        <v>50</v>
      </c>
      <c r="L44" s="28">
        <v>36</v>
      </c>
      <c r="M44" s="28">
        <v>3</v>
      </c>
      <c r="N44" s="31">
        <v>108</v>
      </c>
      <c r="O44" s="28" t="s">
        <v>46</v>
      </c>
      <c r="P44" s="28" t="s">
        <v>18</v>
      </c>
      <c r="Q44" s="28" t="s">
        <v>30</v>
      </c>
      <c r="R44" s="37" t="str">
        <f>IF(OR(Table5[[#This Row],[Delivery Status]]="Cancelled",Table5[[#This Row],[Cancel Date]]&lt;&gt;""),"Cancelled","Active")</f>
        <v>Cancelled</v>
      </c>
      <c r="S44" s="28" t="str">
        <f>IF(Table5[[#This Row],[Delivery Status]]&lt;&gt;"Delivered",
"Not Delivered",
IF(Table5[[#This Row],[Delivery Date]]-Table5[[#This Row],[Order Date]]&lt;=2,"Fast","Slow")
)</f>
        <v>Not Delivered</v>
      </c>
      <c r="T44" s="31" t="str">
        <f>IF(Table5[[#This Row],[Delivery Status]]="Delivered",
Table5[[#This Row],[Delivery Date]]-Table5[[#This Row],[Order Date]],
"")</f>
        <v/>
      </c>
      <c r="U44">
        <f>_xlfn.XLOOKUP(Table5[[#This Row],[Region]],Table3[Region],Table3[Sales Target],"NA",0)</f>
        <v>90750</v>
      </c>
    </row>
    <row r="45" spans="1:21" x14ac:dyDescent="0.25">
      <c r="A45" s="28" t="s">
        <v>124</v>
      </c>
      <c r="B45" s="29">
        <v>45278</v>
      </c>
      <c r="C45" s="29"/>
      <c r="D45" s="29">
        <v>45283</v>
      </c>
      <c r="E45" s="28" t="s">
        <v>118</v>
      </c>
      <c r="F45" s="28" t="str">
        <f>_xlfn.XLOOKUP(Table5[[#This Row],[Customer ID]],Table4[Customer ID],Table4[Customer Name],"NA",0)</f>
        <v>Ava Robinson</v>
      </c>
      <c r="G45" s="28" t="str">
        <f>_xlfn.XLOOKUP(Table5[[#This Row],[Customer ID]],Table4[Customer ID],Table4[Customer Type],"NA",0)</f>
        <v>Prime</v>
      </c>
      <c r="H45" s="28" t="s">
        <v>119</v>
      </c>
      <c r="I45" s="28" t="str">
        <f>_xlfn.XLOOKUP(Table5[[#This Row],[Product ID]],Table2[Product ID],Table2[Product Name],"NA",0)</f>
        <v>Leg Set</v>
      </c>
      <c r="J45" s="30" t="str">
        <f>_xlfn.XLOOKUP(Table5[[#This Row],[Product ID]],Table2[Product ID],Table2[Category],"NA",0)</f>
        <v>Toys</v>
      </c>
      <c r="K45" s="28" t="s">
        <v>45</v>
      </c>
      <c r="L45" s="28">
        <v>62</v>
      </c>
      <c r="M45" s="28">
        <v>1</v>
      </c>
      <c r="N45" s="31">
        <v>62</v>
      </c>
      <c r="O45" s="28" t="s">
        <v>17</v>
      </c>
      <c r="P45" s="28" t="s">
        <v>18</v>
      </c>
      <c r="Q45" s="28" t="s">
        <v>38</v>
      </c>
      <c r="R45" s="37" t="str">
        <f>IF(OR(Table5[[#This Row],[Delivery Status]]="Cancelled",Table5[[#This Row],[Cancel Date]]&lt;&gt;""),"Cancelled","Active")</f>
        <v>Cancelled</v>
      </c>
      <c r="S45" s="28" t="str">
        <f>IF(Table5[[#This Row],[Delivery Status]]&lt;&gt;"Delivered",
"Not Delivered",
IF(Table5[[#This Row],[Delivery Date]]-Table5[[#This Row],[Order Date]]&lt;=2,"Fast","Slow")
)</f>
        <v>Not Delivered</v>
      </c>
      <c r="T45" s="31" t="str">
        <f>IF(Table5[[#This Row],[Delivery Status]]="Delivered",
Table5[[#This Row],[Delivery Date]]-Table5[[#This Row],[Order Date]],
"")</f>
        <v/>
      </c>
      <c r="U45">
        <f>_xlfn.XLOOKUP(Table5[[#This Row],[Region]],Table3[Region],Table3[Sales Target],"NA",0)</f>
        <v>97500</v>
      </c>
    </row>
    <row r="46" spans="1:21" x14ac:dyDescent="0.25">
      <c r="A46" s="28" t="s">
        <v>125</v>
      </c>
      <c r="B46" s="29">
        <v>45088</v>
      </c>
      <c r="C46" s="29"/>
      <c r="D46" s="29">
        <v>45091</v>
      </c>
      <c r="E46" s="28" t="s">
        <v>43</v>
      </c>
      <c r="F46" s="28" t="str">
        <f>_xlfn.XLOOKUP(Table5[[#This Row],[Customer ID]],Table4[Customer ID],Table4[Customer Name],"NA",0)</f>
        <v>Noah Wilson</v>
      </c>
      <c r="G46" s="28" t="str">
        <f>_xlfn.XLOOKUP(Table5[[#This Row],[Customer ID]],Table4[Customer ID],Table4[Customer Type],"NA",0)</f>
        <v>Prime</v>
      </c>
      <c r="H46" s="28" t="s">
        <v>55</v>
      </c>
      <c r="I46" s="28" t="str">
        <f>_xlfn.XLOOKUP(Table5[[#This Row],[Product ID]],Table2[Product ID],Table2[Product Name],"NA",0)</f>
        <v>Cookware Set</v>
      </c>
      <c r="J46" s="30" t="str">
        <f>_xlfn.XLOOKUP(Table5[[#This Row],[Product ID]],Table2[Product ID],Table2[Category],"NA",0)</f>
        <v>Home</v>
      </c>
      <c r="K46" s="28" t="s">
        <v>45</v>
      </c>
      <c r="L46" s="28">
        <v>137</v>
      </c>
      <c r="M46" s="28">
        <v>5</v>
      </c>
      <c r="N46" s="31">
        <v>685</v>
      </c>
      <c r="O46" s="28" t="s">
        <v>41</v>
      </c>
      <c r="P46" s="28" t="s">
        <v>18</v>
      </c>
      <c r="Q46" s="28" t="s">
        <v>61</v>
      </c>
      <c r="R46" s="37" t="str">
        <f>IF(OR(Table5[[#This Row],[Delivery Status]]="Cancelled",Table5[[#This Row],[Cancel Date]]&lt;&gt;""),"Cancelled","Active")</f>
        <v>Cancelled</v>
      </c>
      <c r="S46" s="28" t="str">
        <f>IF(Table5[[#This Row],[Delivery Status]]&lt;&gt;"Delivered",
"Not Delivered",
IF(Table5[[#This Row],[Delivery Date]]-Table5[[#This Row],[Order Date]]&lt;=2,"Fast","Slow")
)</f>
        <v>Not Delivered</v>
      </c>
      <c r="T46" s="31" t="str">
        <f>IF(Table5[[#This Row],[Delivery Status]]="Delivered",
Table5[[#This Row],[Delivery Date]]-Table5[[#This Row],[Order Date]],
"")</f>
        <v/>
      </c>
      <c r="U46">
        <f>_xlfn.XLOOKUP(Table5[[#This Row],[Region]],Table3[Region],Table3[Sales Target],"NA",0)</f>
        <v>97500</v>
      </c>
    </row>
    <row r="47" spans="1:21" x14ac:dyDescent="0.25">
      <c r="A47" s="28" t="s">
        <v>126</v>
      </c>
      <c r="B47" s="29">
        <v>45264</v>
      </c>
      <c r="C47" s="29">
        <v>45268</v>
      </c>
      <c r="D47" s="29"/>
      <c r="E47" s="28" t="s">
        <v>127</v>
      </c>
      <c r="F47" s="28" t="str">
        <f>_xlfn.XLOOKUP(Table5[[#This Row],[Customer ID]],Table4[Customer ID],Table4[Customer Name],"NA",0)</f>
        <v>Logan Ramirez</v>
      </c>
      <c r="G47" s="28" t="str">
        <f>_xlfn.XLOOKUP(Table5[[#This Row],[Customer ID]],Table4[Customer ID],Table4[Customer Type],"NA",0)</f>
        <v>Individual</v>
      </c>
      <c r="H47" s="28" t="s">
        <v>67</v>
      </c>
      <c r="I47" s="28" t="str">
        <f>_xlfn.XLOOKUP(Table5[[#This Row],[Product ID]],Table2[Product ID],Table2[Product Name],"NA",0)</f>
        <v>Gaming Mouse</v>
      </c>
      <c r="J47" s="30" t="str">
        <f>_xlfn.XLOOKUP(Table5[[#This Row],[Product ID]],Table2[Product ID],Table2[Category],"NA",0)</f>
        <v>Electronics</v>
      </c>
      <c r="K47" s="28" t="s">
        <v>16</v>
      </c>
      <c r="L47" s="28">
        <v>73</v>
      </c>
      <c r="M47" s="28">
        <v>4</v>
      </c>
      <c r="N47" s="31">
        <v>292</v>
      </c>
      <c r="O47" s="28" t="s">
        <v>24</v>
      </c>
      <c r="P47" s="28" t="s">
        <v>25</v>
      </c>
      <c r="Q47" s="28" t="s">
        <v>38</v>
      </c>
      <c r="R47" s="37" t="str">
        <f>IF(OR(Table5[[#This Row],[Delivery Status]]="Cancelled",Table5[[#This Row],[Cancel Date]]&lt;&gt;""),"Cancelled","Active")</f>
        <v>Active</v>
      </c>
      <c r="S47" s="28" t="str">
        <f>IF(Table5[[#This Row],[Delivery Status]]&lt;&gt;"Delivered",
"Not Delivered",
IF(Table5[[#This Row],[Delivery Date]]-Table5[[#This Row],[Order Date]]&lt;=2,"Fast","Slow")
)</f>
        <v>Slow</v>
      </c>
      <c r="T47" s="31">
        <f>IF(Table5[[#This Row],[Delivery Status]]="Delivered",
Table5[[#This Row],[Delivery Date]]-Table5[[#This Row],[Order Date]],
"")</f>
        <v>4</v>
      </c>
      <c r="U47">
        <f>_xlfn.XLOOKUP(Table5[[#This Row],[Region]],Table3[Region],Table3[Sales Target],"NA",0)</f>
        <v>105000</v>
      </c>
    </row>
    <row r="48" spans="1:21" x14ac:dyDescent="0.25">
      <c r="A48" s="28" t="s">
        <v>128</v>
      </c>
      <c r="B48" s="29">
        <v>45124</v>
      </c>
      <c r="C48" s="29">
        <v>45126</v>
      </c>
      <c r="D48" s="29"/>
      <c r="E48" s="28" t="s">
        <v>78</v>
      </c>
      <c r="F48" s="28" t="str">
        <f>_xlfn.XLOOKUP(Table5[[#This Row],[Customer ID]],Table4[Customer ID],Table4[Customer Name],"NA",0)</f>
        <v>Jacob Price</v>
      </c>
      <c r="G48" s="28" t="str">
        <f>_xlfn.XLOOKUP(Table5[[#This Row],[Customer ID]],Table4[Customer ID],Table4[Customer Type],"NA",0)</f>
        <v>Business</v>
      </c>
      <c r="H48" s="28" t="s">
        <v>44</v>
      </c>
      <c r="I48" s="28" t="str">
        <f>_xlfn.XLOOKUP(Table5[[#This Row],[Product ID]],Table2[Product ID],Table2[Product Name],"NA",0)</f>
        <v>Bluetooth Speaker</v>
      </c>
      <c r="J48" s="30" t="str">
        <f>_xlfn.XLOOKUP(Table5[[#This Row],[Product ID]],Table2[Product ID],Table2[Category],"NA",0)</f>
        <v>Electronics</v>
      </c>
      <c r="K48" s="28" t="s">
        <v>16</v>
      </c>
      <c r="L48" s="28">
        <v>104</v>
      </c>
      <c r="M48" s="28">
        <v>1</v>
      </c>
      <c r="N48" s="31">
        <v>104</v>
      </c>
      <c r="O48" s="28" t="s">
        <v>33</v>
      </c>
      <c r="P48" s="28" t="s">
        <v>25</v>
      </c>
      <c r="Q48" s="28" t="s">
        <v>38</v>
      </c>
      <c r="R48" s="37" t="str">
        <f>IF(OR(Table5[[#This Row],[Delivery Status]]="Cancelled",Table5[[#This Row],[Cancel Date]]&lt;&gt;""),"Cancelled","Active")</f>
        <v>Active</v>
      </c>
      <c r="S48" s="28" t="str">
        <f>IF(Table5[[#This Row],[Delivery Status]]&lt;&gt;"Delivered",
"Not Delivered",
IF(Table5[[#This Row],[Delivery Date]]-Table5[[#This Row],[Order Date]]&lt;=2,"Fast","Slow")
)</f>
        <v>Fast</v>
      </c>
      <c r="T48" s="31">
        <f>IF(Table5[[#This Row],[Delivery Status]]="Delivered",
Table5[[#This Row],[Delivery Date]]-Table5[[#This Row],[Order Date]],
"")</f>
        <v>2</v>
      </c>
      <c r="U48">
        <f>_xlfn.XLOOKUP(Table5[[#This Row],[Region]],Table3[Region],Table3[Sales Target],"NA",0)</f>
        <v>105000</v>
      </c>
    </row>
    <row r="49" spans="1:21" x14ac:dyDescent="0.25">
      <c r="A49" s="28" t="s">
        <v>129</v>
      </c>
      <c r="B49" s="29">
        <v>45218</v>
      </c>
      <c r="C49" s="29">
        <v>45223</v>
      </c>
      <c r="D49" s="29"/>
      <c r="E49" s="28" t="s">
        <v>32</v>
      </c>
      <c r="F49" s="28" t="str">
        <f>_xlfn.XLOOKUP(Table5[[#This Row],[Customer ID]],Table4[Customer ID],Table4[Customer Name],"NA",0)</f>
        <v>Grace Ward</v>
      </c>
      <c r="G49" s="28" t="str">
        <f>_xlfn.XLOOKUP(Table5[[#This Row],[Customer ID]],Table4[Customer ID],Table4[Customer Type],"NA",0)</f>
        <v>Business</v>
      </c>
      <c r="H49" s="28" t="s">
        <v>64</v>
      </c>
      <c r="I49" s="28" t="str">
        <f>_xlfn.XLOOKUP(Table5[[#This Row],[Product ID]],Table2[Product ID],Table2[Product Name],"NA",0)</f>
        <v>Shoes</v>
      </c>
      <c r="J49" s="30" t="str">
        <f>_xlfn.XLOOKUP(Table5[[#This Row],[Product ID]],Table2[Product ID],Table2[Category],"NA",0)</f>
        <v>Fashion</v>
      </c>
      <c r="K49" s="28" t="s">
        <v>23</v>
      </c>
      <c r="L49" s="28">
        <v>97</v>
      </c>
      <c r="M49" s="28">
        <v>1</v>
      </c>
      <c r="N49" s="31">
        <v>97</v>
      </c>
      <c r="O49" s="28" t="s">
        <v>41</v>
      </c>
      <c r="P49" s="28" t="s">
        <v>25</v>
      </c>
      <c r="Q49" s="28" t="s">
        <v>61</v>
      </c>
      <c r="R49" s="37" t="str">
        <f>IF(OR(Table5[[#This Row],[Delivery Status]]="Cancelled",Table5[[#This Row],[Cancel Date]]&lt;&gt;""),"Cancelled","Active")</f>
        <v>Active</v>
      </c>
      <c r="S49" s="28" t="str">
        <f>IF(Table5[[#This Row],[Delivery Status]]&lt;&gt;"Delivered",
"Not Delivered",
IF(Table5[[#This Row],[Delivery Date]]-Table5[[#This Row],[Order Date]]&lt;=2,"Fast","Slow")
)</f>
        <v>Slow</v>
      </c>
      <c r="T49" s="31">
        <f>IF(Table5[[#This Row],[Delivery Status]]="Delivered",
Table5[[#This Row],[Delivery Date]]-Table5[[#This Row],[Order Date]],
"")</f>
        <v>5</v>
      </c>
      <c r="U49">
        <f>_xlfn.XLOOKUP(Table5[[#This Row],[Region]],Table3[Region],Table3[Sales Target],"NA",0)</f>
        <v>50500</v>
      </c>
    </row>
    <row r="50" spans="1:21" x14ac:dyDescent="0.25">
      <c r="A50" s="28" t="s">
        <v>130</v>
      </c>
      <c r="B50" s="29">
        <v>45061</v>
      </c>
      <c r="C50" s="29"/>
      <c r="D50" s="29"/>
      <c r="E50" s="28" t="s">
        <v>131</v>
      </c>
      <c r="F50" s="28" t="str">
        <f>_xlfn.XLOOKUP(Table5[[#This Row],[Customer ID]],Table4[Customer ID],Table4[Customer Name],"NA",0)</f>
        <v>Zoe Mitchell</v>
      </c>
      <c r="G50" s="28" t="str">
        <f>_xlfn.XLOOKUP(Table5[[#This Row],[Customer ID]],Table4[Customer ID],Table4[Customer Type],"NA",0)</f>
        <v>Individual</v>
      </c>
      <c r="H50" s="28" t="s">
        <v>67</v>
      </c>
      <c r="I50" s="28" t="str">
        <f>_xlfn.XLOOKUP(Table5[[#This Row],[Product ID]],Table2[Product ID],Table2[Product Name],"NA",0)</f>
        <v>Gaming Mouse</v>
      </c>
      <c r="J50" s="30" t="str">
        <f>_xlfn.XLOOKUP(Table5[[#This Row],[Product ID]],Table2[Product ID],Table2[Category],"NA",0)</f>
        <v>Electronics</v>
      </c>
      <c r="K50" s="28" t="s">
        <v>28</v>
      </c>
      <c r="L50" s="28">
        <v>73</v>
      </c>
      <c r="M50" s="28">
        <v>5</v>
      </c>
      <c r="N50" s="31">
        <v>365</v>
      </c>
      <c r="O50" s="28" t="s">
        <v>17</v>
      </c>
      <c r="P50" s="28" t="s">
        <v>29</v>
      </c>
      <c r="Q50" s="28" t="s">
        <v>38</v>
      </c>
      <c r="R50" s="37" t="str">
        <f>IF(OR(Table5[[#This Row],[Delivery Status]]="Cancelled",Table5[[#This Row],[Cancel Date]]&lt;&gt;""),"Cancelled","Active")</f>
        <v>Active</v>
      </c>
      <c r="S50" s="28" t="str">
        <f>IF(Table5[[#This Row],[Delivery Status]]&lt;&gt;"Delivered",
"Not Delivered",
IF(Table5[[#This Row],[Delivery Date]]-Table5[[#This Row],[Order Date]]&lt;=2,"Fast","Slow")
)</f>
        <v>Not Delivered</v>
      </c>
      <c r="T50" s="31" t="str">
        <f>IF(Table5[[#This Row],[Delivery Status]]="Delivered",
Table5[[#This Row],[Delivery Date]]-Table5[[#This Row],[Order Date]],
"")</f>
        <v/>
      </c>
      <c r="U50">
        <f>_xlfn.XLOOKUP(Table5[[#This Row],[Region]],Table3[Region],Table3[Sales Target],"NA",0)</f>
        <v>91500</v>
      </c>
    </row>
    <row r="51" spans="1:21" x14ac:dyDescent="0.25">
      <c r="A51" s="28" t="s">
        <v>132</v>
      </c>
      <c r="B51" s="29">
        <v>44969</v>
      </c>
      <c r="C51" s="29">
        <v>44976</v>
      </c>
      <c r="D51" s="29"/>
      <c r="E51" s="28" t="s">
        <v>89</v>
      </c>
      <c r="F51" s="28" t="str">
        <f>_xlfn.XLOOKUP(Table5[[#This Row],[Customer ID]],Table4[Customer ID],Table4[Customer Name],"NA",0)</f>
        <v>Benjamin Clark</v>
      </c>
      <c r="G51" s="28" t="str">
        <f>_xlfn.XLOOKUP(Table5[[#This Row],[Customer ID]],Table4[Customer ID],Table4[Customer Type],"NA",0)</f>
        <v>Prime</v>
      </c>
      <c r="H51" s="28" t="s">
        <v>69</v>
      </c>
      <c r="I51" s="28" t="str">
        <f>_xlfn.XLOOKUP(Table5[[#This Row],[Product ID]],Table2[Product ID],Table2[Product Name],"NA",0)</f>
        <v>T-Shirt</v>
      </c>
      <c r="J51" s="30" t="str">
        <f>_xlfn.XLOOKUP(Table5[[#This Row],[Product ID]],Table2[Product ID],Table2[Category],"NA",0)</f>
        <v>Fashion</v>
      </c>
      <c r="K51" s="28" t="s">
        <v>23</v>
      </c>
      <c r="L51" s="28">
        <v>27</v>
      </c>
      <c r="M51" s="28">
        <v>3</v>
      </c>
      <c r="N51" s="31">
        <v>81</v>
      </c>
      <c r="O51" s="28" t="s">
        <v>41</v>
      </c>
      <c r="P51" s="28" t="s">
        <v>25</v>
      </c>
      <c r="Q51" s="28" t="s">
        <v>34</v>
      </c>
      <c r="R51" s="37" t="str">
        <f>IF(OR(Table5[[#This Row],[Delivery Status]]="Cancelled",Table5[[#This Row],[Cancel Date]]&lt;&gt;""),"Cancelled","Active")</f>
        <v>Active</v>
      </c>
      <c r="S51" s="28" t="str">
        <f>IF(Table5[[#This Row],[Delivery Status]]&lt;&gt;"Delivered",
"Not Delivered",
IF(Table5[[#This Row],[Delivery Date]]-Table5[[#This Row],[Order Date]]&lt;=2,"Fast","Slow")
)</f>
        <v>Slow</v>
      </c>
      <c r="T51" s="31">
        <f>IF(Table5[[#This Row],[Delivery Status]]="Delivered",
Table5[[#This Row],[Delivery Date]]-Table5[[#This Row],[Order Date]],
"")</f>
        <v>7</v>
      </c>
      <c r="U51">
        <f>_xlfn.XLOOKUP(Table5[[#This Row],[Region]],Table3[Region],Table3[Sales Target],"NA",0)</f>
        <v>50500</v>
      </c>
    </row>
    <row r="52" spans="1:21" x14ac:dyDescent="0.25">
      <c r="A52" s="28" t="s">
        <v>133</v>
      </c>
      <c r="B52" s="29">
        <v>45201</v>
      </c>
      <c r="C52" s="29"/>
      <c r="D52" s="29"/>
      <c r="E52" s="28" t="s">
        <v>78</v>
      </c>
      <c r="F52" s="28" t="str">
        <f>_xlfn.XLOOKUP(Table5[[#This Row],[Customer ID]],Table4[Customer ID],Table4[Customer Name],"NA",0)</f>
        <v>Jacob Price</v>
      </c>
      <c r="G52" s="28" t="str">
        <f>_xlfn.XLOOKUP(Table5[[#This Row],[Customer ID]],Table4[Customer ID],Table4[Customer Type],"NA",0)</f>
        <v>Business</v>
      </c>
      <c r="H52" s="28" t="s">
        <v>49</v>
      </c>
      <c r="I52" s="28" t="str">
        <f>_xlfn.XLOOKUP(Table5[[#This Row],[Product ID]],Table2[Product ID],Table2[Product Name],"NA",0)</f>
        <v>Wall Clock</v>
      </c>
      <c r="J52" s="30" t="str">
        <f>_xlfn.XLOOKUP(Table5[[#This Row],[Product ID]],Table2[Product ID],Table2[Category],"NA",0)</f>
        <v>Home</v>
      </c>
      <c r="K52" s="28" t="s">
        <v>16</v>
      </c>
      <c r="L52" s="28">
        <v>37</v>
      </c>
      <c r="M52" s="28">
        <v>1</v>
      </c>
      <c r="N52" s="31">
        <v>37</v>
      </c>
      <c r="O52" s="28" t="s">
        <v>17</v>
      </c>
      <c r="P52" s="28" t="s">
        <v>29</v>
      </c>
      <c r="Q52" s="28" t="s">
        <v>34</v>
      </c>
      <c r="R52" s="37" t="str">
        <f>IF(OR(Table5[[#This Row],[Delivery Status]]="Cancelled",Table5[[#This Row],[Cancel Date]]&lt;&gt;""),"Cancelled","Active")</f>
        <v>Active</v>
      </c>
      <c r="S52" s="28" t="str">
        <f>IF(Table5[[#This Row],[Delivery Status]]&lt;&gt;"Delivered",
"Not Delivered",
IF(Table5[[#This Row],[Delivery Date]]-Table5[[#This Row],[Order Date]]&lt;=2,"Fast","Slow")
)</f>
        <v>Not Delivered</v>
      </c>
      <c r="T52" s="31" t="str">
        <f>IF(Table5[[#This Row],[Delivery Status]]="Delivered",
Table5[[#This Row],[Delivery Date]]-Table5[[#This Row],[Order Date]],
"")</f>
        <v/>
      </c>
      <c r="U52">
        <f>_xlfn.XLOOKUP(Table5[[#This Row],[Region]],Table3[Region],Table3[Sales Target],"NA",0)</f>
        <v>105000</v>
      </c>
    </row>
    <row r="53" spans="1:21" x14ac:dyDescent="0.25">
      <c r="A53" s="28" t="s">
        <v>134</v>
      </c>
      <c r="B53" s="29">
        <v>44956</v>
      </c>
      <c r="C53" s="29">
        <v>44958</v>
      </c>
      <c r="D53" s="29"/>
      <c r="E53" s="28" t="s">
        <v>99</v>
      </c>
      <c r="F53" s="28" t="str">
        <f>_xlfn.XLOOKUP(Table5[[#This Row],[Customer ID]],Table4[Customer ID],Table4[Customer Name],"NA",0)</f>
        <v>Harper Young</v>
      </c>
      <c r="G53" s="28" t="str">
        <f>_xlfn.XLOOKUP(Table5[[#This Row],[Customer ID]],Table4[Customer ID],Table4[Customer Type],"NA",0)</f>
        <v>Business</v>
      </c>
      <c r="H53" s="28" t="s">
        <v>73</v>
      </c>
      <c r="I53" s="28" t="str">
        <f>_xlfn.XLOOKUP(Table5[[#This Row],[Product ID]],Table2[Product ID],Table2[Product Name],"NA",0)</f>
        <v>Novel</v>
      </c>
      <c r="J53" s="30" t="str">
        <f>_xlfn.XLOOKUP(Table5[[#This Row],[Product ID]],Table2[Product ID],Table2[Category],"NA",0)</f>
        <v>Books</v>
      </c>
      <c r="K53" s="28" t="s">
        <v>16</v>
      </c>
      <c r="L53" s="28">
        <v>22</v>
      </c>
      <c r="M53" s="28">
        <v>1</v>
      </c>
      <c r="N53" s="31">
        <v>22</v>
      </c>
      <c r="O53" s="28" t="s">
        <v>46</v>
      </c>
      <c r="P53" s="28" t="s">
        <v>25</v>
      </c>
      <c r="Q53" s="28" t="s">
        <v>61</v>
      </c>
      <c r="R53" s="37" t="str">
        <f>IF(OR(Table5[[#This Row],[Delivery Status]]="Cancelled",Table5[[#This Row],[Cancel Date]]&lt;&gt;""),"Cancelled","Active")</f>
        <v>Active</v>
      </c>
      <c r="S53" s="28" t="str">
        <f>IF(Table5[[#This Row],[Delivery Status]]&lt;&gt;"Delivered",
"Not Delivered",
IF(Table5[[#This Row],[Delivery Date]]-Table5[[#This Row],[Order Date]]&lt;=2,"Fast","Slow")
)</f>
        <v>Fast</v>
      </c>
      <c r="T53" s="31">
        <f>IF(Table5[[#This Row],[Delivery Status]]="Delivered",
Table5[[#This Row],[Delivery Date]]-Table5[[#This Row],[Order Date]],
"")</f>
        <v>2</v>
      </c>
      <c r="U53">
        <f>_xlfn.XLOOKUP(Table5[[#This Row],[Region]],Table3[Region],Table3[Sales Target],"NA",0)</f>
        <v>105000</v>
      </c>
    </row>
    <row r="54" spans="1:21" x14ac:dyDescent="0.25">
      <c r="A54" s="28" t="s">
        <v>135</v>
      </c>
      <c r="B54" s="29">
        <v>45289</v>
      </c>
      <c r="C54" s="29">
        <v>45292</v>
      </c>
      <c r="D54" s="29"/>
      <c r="E54" s="28" t="s">
        <v>75</v>
      </c>
      <c r="F54" s="28" t="str">
        <f>_xlfn.XLOOKUP(Table5[[#This Row],[Customer ID]],Table4[Customer ID],Table4[Customer Name],"NA",0)</f>
        <v>Mason Hall</v>
      </c>
      <c r="G54" s="28" t="str">
        <f>_xlfn.XLOOKUP(Table5[[#This Row],[Customer ID]],Table4[Customer ID],Table4[Customer Type],"NA",0)</f>
        <v>Business</v>
      </c>
      <c r="H54" s="28" t="s">
        <v>111</v>
      </c>
      <c r="I54" s="28" t="str">
        <f>_xlfn.XLOOKUP(Table5[[#This Row],[Product ID]],Table2[Product ID],Table2[Product Name],"NA",0)</f>
        <v>Cookware Set Pro</v>
      </c>
      <c r="J54" s="30" t="str">
        <f>_xlfn.XLOOKUP(Table5[[#This Row],[Product ID]],Table2[Product ID],Table2[Category],"NA",0)</f>
        <v>Home</v>
      </c>
      <c r="K54" s="28" t="s">
        <v>45</v>
      </c>
      <c r="L54" s="28">
        <v>218</v>
      </c>
      <c r="M54" s="28">
        <v>5</v>
      </c>
      <c r="N54" s="31">
        <v>1090</v>
      </c>
      <c r="O54" s="28" t="s">
        <v>33</v>
      </c>
      <c r="P54" s="28" t="s">
        <v>25</v>
      </c>
      <c r="Q54" s="28" t="s">
        <v>19</v>
      </c>
      <c r="R54" s="37" t="str">
        <f>IF(OR(Table5[[#This Row],[Delivery Status]]="Cancelled",Table5[[#This Row],[Cancel Date]]&lt;&gt;""),"Cancelled","Active")</f>
        <v>Active</v>
      </c>
      <c r="S54" s="28" t="str">
        <f>IF(Table5[[#This Row],[Delivery Status]]&lt;&gt;"Delivered",
"Not Delivered",
IF(Table5[[#This Row],[Delivery Date]]-Table5[[#This Row],[Order Date]]&lt;=2,"Fast","Slow")
)</f>
        <v>Slow</v>
      </c>
      <c r="T54" s="31">
        <f>IF(Table5[[#This Row],[Delivery Status]]="Delivered",
Table5[[#This Row],[Delivery Date]]-Table5[[#This Row],[Order Date]],
"")</f>
        <v>3</v>
      </c>
      <c r="U54">
        <f>_xlfn.XLOOKUP(Table5[[#This Row],[Region]],Table3[Region],Table3[Sales Target],"NA",0)</f>
        <v>97500</v>
      </c>
    </row>
    <row r="55" spans="1:21" x14ac:dyDescent="0.25">
      <c r="A55" s="28" t="s">
        <v>136</v>
      </c>
      <c r="B55" s="29">
        <v>44991</v>
      </c>
      <c r="C55" s="29"/>
      <c r="D55" s="29">
        <v>44998</v>
      </c>
      <c r="E55" s="28" t="s">
        <v>94</v>
      </c>
      <c r="F55" s="28" t="str">
        <f>_xlfn.XLOOKUP(Table5[[#This Row],[Customer ID]],Table4[Customer ID],Table4[Customer Name],"NA",0)</f>
        <v>Grace Scott</v>
      </c>
      <c r="G55" s="28" t="str">
        <f>_xlfn.XLOOKUP(Table5[[#This Row],[Customer ID]],Table4[Customer ID],Table4[Customer Type],"NA",0)</f>
        <v>Individual</v>
      </c>
      <c r="H55" s="28" t="s">
        <v>119</v>
      </c>
      <c r="I55" s="28" t="str">
        <f>_xlfn.XLOOKUP(Table5[[#This Row],[Product ID]],Table2[Product ID],Table2[Product Name],"NA",0)</f>
        <v>Leg Set</v>
      </c>
      <c r="J55" s="30" t="str">
        <f>_xlfn.XLOOKUP(Table5[[#This Row],[Product ID]],Table2[Product ID],Table2[Category],"NA",0)</f>
        <v>Toys</v>
      </c>
      <c r="K55" s="28" t="s">
        <v>16</v>
      </c>
      <c r="L55" s="28">
        <v>64</v>
      </c>
      <c r="M55" s="28">
        <v>1</v>
      </c>
      <c r="N55" s="31">
        <v>64</v>
      </c>
      <c r="O55" s="28" t="s">
        <v>17</v>
      </c>
      <c r="P55" s="28" t="s">
        <v>18</v>
      </c>
      <c r="Q55" s="28" t="s">
        <v>30</v>
      </c>
      <c r="R55" s="37" t="str">
        <f>IF(OR(Table5[[#This Row],[Delivery Status]]="Cancelled",Table5[[#This Row],[Cancel Date]]&lt;&gt;""),"Cancelled","Active")</f>
        <v>Cancelled</v>
      </c>
      <c r="S55" s="28" t="str">
        <f>IF(Table5[[#This Row],[Delivery Status]]&lt;&gt;"Delivered",
"Not Delivered",
IF(Table5[[#This Row],[Delivery Date]]-Table5[[#This Row],[Order Date]]&lt;=2,"Fast","Slow")
)</f>
        <v>Not Delivered</v>
      </c>
      <c r="T55" s="31" t="str">
        <f>IF(Table5[[#This Row],[Delivery Status]]="Delivered",
Table5[[#This Row],[Delivery Date]]-Table5[[#This Row],[Order Date]],
"")</f>
        <v/>
      </c>
      <c r="U55">
        <f>_xlfn.XLOOKUP(Table5[[#This Row],[Region]],Table3[Region],Table3[Sales Target],"NA",0)</f>
        <v>105000</v>
      </c>
    </row>
    <row r="56" spans="1:21" x14ac:dyDescent="0.25">
      <c r="A56" s="28" t="s">
        <v>137</v>
      </c>
      <c r="B56" s="29">
        <v>44959</v>
      </c>
      <c r="C56" s="29">
        <v>44963</v>
      </c>
      <c r="D56" s="29"/>
      <c r="E56" s="28" t="s">
        <v>103</v>
      </c>
      <c r="F56" s="28" t="str">
        <f>_xlfn.XLOOKUP(Table5[[#This Row],[Customer ID]],Table4[Customer ID],Table4[Customer Name],"NA",0)</f>
        <v>Emily Johnson</v>
      </c>
      <c r="G56" s="28" t="str">
        <f>_xlfn.XLOOKUP(Table5[[#This Row],[Customer ID]],Table4[Customer ID],Table4[Customer Type],"NA",0)</f>
        <v>Individual</v>
      </c>
      <c r="H56" s="28" t="s">
        <v>49</v>
      </c>
      <c r="I56" s="28" t="str">
        <f>_xlfn.XLOOKUP(Table5[[#This Row],[Product ID]],Table2[Product ID],Table2[Product Name],"NA",0)</f>
        <v>Wall Clock</v>
      </c>
      <c r="J56" s="30" t="str">
        <f>_xlfn.XLOOKUP(Table5[[#This Row],[Product ID]],Table2[Product ID],Table2[Category],"NA",0)</f>
        <v>Home</v>
      </c>
      <c r="K56" s="28" t="s">
        <v>45</v>
      </c>
      <c r="L56" s="28">
        <v>36</v>
      </c>
      <c r="M56" s="28">
        <v>4</v>
      </c>
      <c r="N56" s="31">
        <v>144</v>
      </c>
      <c r="O56" s="28" t="s">
        <v>33</v>
      </c>
      <c r="P56" s="28" t="s">
        <v>25</v>
      </c>
      <c r="Q56" s="28" t="s">
        <v>38</v>
      </c>
      <c r="R56" s="37" t="str">
        <f>IF(OR(Table5[[#This Row],[Delivery Status]]="Cancelled",Table5[[#This Row],[Cancel Date]]&lt;&gt;""),"Cancelled","Active")</f>
        <v>Active</v>
      </c>
      <c r="S56" s="28" t="str">
        <f>IF(Table5[[#This Row],[Delivery Status]]&lt;&gt;"Delivered",
"Not Delivered",
IF(Table5[[#This Row],[Delivery Date]]-Table5[[#This Row],[Order Date]]&lt;=2,"Fast","Slow")
)</f>
        <v>Slow</v>
      </c>
      <c r="T56" s="31">
        <f>IF(Table5[[#This Row],[Delivery Status]]="Delivered",
Table5[[#This Row],[Delivery Date]]-Table5[[#This Row],[Order Date]],
"")</f>
        <v>4</v>
      </c>
      <c r="U56">
        <f>_xlfn.XLOOKUP(Table5[[#This Row],[Region]],Table3[Region],Table3[Sales Target],"NA",0)</f>
        <v>97500</v>
      </c>
    </row>
    <row r="57" spans="1:21" x14ac:dyDescent="0.25">
      <c r="A57" s="28" t="s">
        <v>138</v>
      </c>
      <c r="B57" s="29">
        <v>45217</v>
      </c>
      <c r="C57" s="29">
        <v>45220</v>
      </c>
      <c r="D57" s="29"/>
      <c r="E57" s="28" t="s">
        <v>139</v>
      </c>
      <c r="F57" s="28" t="str">
        <f>_xlfn.XLOOKUP(Table5[[#This Row],[Customer ID]],Table4[Customer ID],Table4[Customer Name],"NA",0)</f>
        <v>Emma King</v>
      </c>
      <c r="G57" s="28" t="str">
        <f>_xlfn.XLOOKUP(Table5[[#This Row],[Customer ID]],Table4[Customer ID],Table4[Customer Type],"NA",0)</f>
        <v>Business</v>
      </c>
      <c r="H57" s="28" t="s">
        <v>119</v>
      </c>
      <c r="I57" s="28" t="str">
        <f>_xlfn.XLOOKUP(Table5[[#This Row],[Product ID]],Table2[Product ID],Table2[Product Name],"NA",0)</f>
        <v>Leg Set</v>
      </c>
      <c r="J57" s="30" t="str">
        <f>_xlfn.XLOOKUP(Table5[[#This Row],[Product ID]],Table2[Product ID],Table2[Category],"NA",0)</f>
        <v>Toys</v>
      </c>
      <c r="K57" s="28" t="s">
        <v>50</v>
      </c>
      <c r="L57" s="28">
        <v>65</v>
      </c>
      <c r="M57" s="28">
        <v>1</v>
      </c>
      <c r="N57" s="31">
        <v>65</v>
      </c>
      <c r="O57" s="28" t="s">
        <v>41</v>
      </c>
      <c r="P57" s="28" t="s">
        <v>25</v>
      </c>
      <c r="Q57" s="28" t="s">
        <v>61</v>
      </c>
      <c r="R57" s="37" t="str">
        <f>IF(OR(Table5[[#This Row],[Delivery Status]]="Cancelled",Table5[[#This Row],[Cancel Date]]&lt;&gt;""),"Cancelled","Active")</f>
        <v>Active</v>
      </c>
      <c r="S57" s="28" t="str">
        <f>IF(Table5[[#This Row],[Delivery Status]]&lt;&gt;"Delivered",
"Not Delivered",
IF(Table5[[#This Row],[Delivery Date]]-Table5[[#This Row],[Order Date]]&lt;=2,"Fast","Slow")
)</f>
        <v>Slow</v>
      </c>
      <c r="T57" s="31">
        <f>IF(Table5[[#This Row],[Delivery Status]]="Delivered",
Table5[[#This Row],[Delivery Date]]-Table5[[#This Row],[Order Date]],
"")</f>
        <v>3</v>
      </c>
      <c r="U57">
        <f>_xlfn.XLOOKUP(Table5[[#This Row],[Region]],Table3[Region],Table3[Sales Target],"NA",0)</f>
        <v>90750</v>
      </c>
    </row>
    <row r="58" spans="1:21" x14ac:dyDescent="0.25">
      <c r="A58" s="28" t="s">
        <v>140</v>
      </c>
      <c r="B58" s="29">
        <v>44933</v>
      </c>
      <c r="C58" s="29">
        <v>44935</v>
      </c>
      <c r="D58" s="29"/>
      <c r="E58" s="28" t="s">
        <v>80</v>
      </c>
      <c r="F58" s="28" t="str">
        <f>_xlfn.XLOOKUP(Table5[[#This Row],[Customer ID]],Table4[Customer ID],Table4[Customer Name],"NA",0)</f>
        <v>Emma King</v>
      </c>
      <c r="G58" s="28" t="str">
        <f>_xlfn.XLOOKUP(Table5[[#This Row],[Customer ID]],Table4[Customer ID],Table4[Customer Type],"NA",0)</f>
        <v>Individual</v>
      </c>
      <c r="H58" s="28" t="s">
        <v>69</v>
      </c>
      <c r="I58" s="28" t="str">
        <f>_xlfn.XLOOKUP(Table5[[#This Row],[Product ID]],Table2[Product ID],Table2[Product Name],"NA",0)</f>
        <v>T-Shirt</v>
      </c>
      <c r="J58" s="30" t="str">
        <f>_xlfn.XLOOKUP(Table5[[#This Row],[Product ID]],Table2[Product ID],Table2[Category],"NA",0)</f>
        <v>Fashion</v>
      </c>
      <c r="K58" s="28" t="s">
        <v>45</v>
      </c>
      <c r="L58" s="28">
        <v>26</v>
      </c>
      <c r="M58" s="28">
        <v>1</v>
      </c>
      <c r="N58" s="31">
        <v>26</v>
      </c>
      <c r="O58" s="28" t="s">
        <v>17</v>
      </c>
      <c r="P58" s="28" t="s">
        <v>25</v>
      </c>
      <c r="Q58" s="28" t="s">
        <v>19</v>
      </c>
      <c r="R58" s="37" t="str">
        <f>IF(OR(Table5[[#This Row],[Delivery Status]]="Cancelled",Table5[[#This Row],[Cancel Date]]&lt;&gt;""),"Cancelled","Active")</f>
        <v>Active</v>
      </c>
      <c r="S58" s="28" t="str">
        <f>IF(Table5[[#This Row],[Delivery Status]]&lt;&gt;"Delivered",
"Not Delivered",
IF(Table5[[#This Row],[Delivery Date]]-Table5[[#This Row],[Order Date]]&lt;=2,"Fast","Slow")
)</f>
        <v>Fast</v>
      </c>
      <c r="T58" s="31">
        <f>IF(Table5[[#This Row],[Delivery Status]]="Delivered",
Table5[[#This Row],[Delivery Date]]-Table5[[#This Row],[Order Date]],
"")</f>
        <v>2</v>
      </c>
      <c r="U58">
        <f>_xlfn.XLOOKUP(Table5[[#This Row],[Region]],Table3[Region],Table3[Sales Target],"NA",0)</f>
        <v>97500</v>
      </c>
    </row>
    <row r="59" spans="1:21" x14ac:dyDescent="0.25">
      <c r="A59" s="28" t="s">
        <v>141</v>
      </c>
      <c r="B59" s="29">
        <v>45054</v>
      </c>
      <c r="C59" s="29"/>
      <c r="D59" s="29"/>
      <c r="E59" s="28" t="s">
        <v>14</v>
      </c>
      <c r="F59" s="28" t="str">
        <f>_xlfn.XLOOKUP(Table5[[#This Row],[Customer ID]],Table4[Customer ID],Table4[Customer Name],"NA",0)</f>
        <v>Zoe Mitchell</v>
      </c>
      <c r="G59" s="28" t="str">
        <f>_xlfn.XLOOKUP(Table5[[#This Row],[Customer ID]],Table4[Customer ID],Table4[Customer Type],"NA",0)</f>
        <v>Individual</v>
      </c>
      <c r="H59" s="28" t="s">
        <v>104</v>
      </c>
      <c r="I59" s="28" t="str">
        <f>_xlfn.XLOOKUP(Table5[[#This Row],[Product ID]],Table2[Product ID],Table2[Product Name],"NA",0)</f>
        <v>Magazine</v>
      </c>
      <c r="J59" s="30" t="str">
        <f>_xlfn.XLOOKUP(Table5[[#This Row],[Product ID]],Table2[Product ID],Table2[Category],"NA",0)</f>
        <v>Books</v>
      </c>
      <c r="K59" s="28" t="s">
        <v>16</v>
      </c>
      <c r="L59" s="28">
        <v>11</v>
      </c>
      <c r="M59" s="28">
        <v>5</v>
      </c>
      <c r="N59" s="31">
        <v>55</v>
      </c>
      <c r="O59" s="28" t="s">
        <v>24</v>
      </c>
      <c r="P59" s="28" t="s">
        <v>29</v>
      </c>
      <c r="Q59" s="28" t="s">
        <v>61</v>
      </c>
      <c r="R59" s="37" t="str">
        <f>IF(OR(Table5[[#This Row],[Delivery Status]]="Cancelled",Table5[[#This Row],[Cancel Date]]&lt;&gt;""),"Cancelled","Active")</f>
        <v>Active</v>
      </c>
      <c r="S59" s="28" t="str">
        <f>IF(Table5[[#This Row],[Delivery Status]]&lt;&gt;"Delivered",
"Not Delivered",
IF(Table5[[#This Row],[Delivery Date]]-Table5[[#This Row],[Order Date]]&lt;=2,"Fast","Slow")
)</f>
        <v>Not Delivered</v>
      </c>
      <c r="T59" s="31" t="str">
        <f>IF(Table5[[#This Row],[Delivery Status]]="Delivered",
Table5[[#This Row],[Delivery Date]]-Table5[[#This Row],[Order Date]],
"")</f>
        <v/>
      </c>
      <c r="U59">
        <f>_xlfn.XLOOKUP(Table5[[#This Row],[Region]],Table3[Region],Table3[Sales Target],"NA",0)</f>
        <v>105000</v>
      </c>
    </row>
    <row r="60" spans="1:21" x14ac:dyDescent="0.25">
      <c r="A60" s="28" t="s">
        <v>142</v>
      </c>
      <c r="B60" s="29">
        <v>45018</v>
      </c>
      <c r="C60" s="29"/>
      <c r="D60" s="29">
        <v>45021</v>
      </c>
      <c r="E60" s="28" t="s">
        <v>143</v>
      </c>
      <c r="F60" s="28" t="str">
        <f>_xlfn.XLOOKUP(Table5[[#This Row],[Customer ID]],Table4[Customer ID],Table4[Customer Name],"NA",0)</f>
        <v>Ethan Davis</v>
      </c>
      <c r="G60" s="28" t="str">
        <f>_xlfn.XLOOKUP(Table5[[#This Row],[Customer ID]],Table4[Customer ID],Table4[Customer Type],"NA",0)</f>
        <v>Prime</v>
      </c>
      <c r="H60" s="28" t="s">
        <v>27</v>
      </c>
      <c r="I60" s="28" t="str">
        <f>_xlfn.XLOOKUP(Table5[[#This Row],[Product ID]],Table2[Product ID],Table2[Product Name],"NA",0)</f>
        <v>Vacuum Cleaner</v>
      </c>
      <c r="J60" s="30" t="str">
        <f>_xlfn.XLOOKUP(Table5[[#This Row],[Product ID]],Table2[Product ID],Table2[Category],"NA",0)</f>
        <v>Home</v>
      </c>
      <c r="K60" s="28" t="s">
        <v>16</v>
      </c>
      <c r="L60" s="28">
        <v>195</v>
      </c>
      <c r="M60" s="28">
        <v>4</v>
      </c>
      <c r="N60" s="31">
        <v>780</v>
      </c>
      <c r="O60" s="28" t="s">
        <v>33</v>
      </c>
      <c r="P60" s="28" t="s">
        <v>18</v>
      </c>
      <c r="Q60" s="28" t="s">
        <v>61</v>
      </c>
      <c r="R60" s="37" t="str">
        <f>IF(OR(Table5[[#This Row],[Delivery Status]]="Cancelled",Table5[[#This Row],[Cancel Date]]&lt;&gt;""),"Cancelled","Active")</f>
        <v>Cancelled</v>
      </c>
      <c r="S60" s="28" t="str">
        <f>IF(Table5[[#This Row],[Delivery Status]]&lt;&gt;"Delivered",
"Not Delivered",
IF(Table5[[#This Row],[Delivery Date]]-Table5[[#This Row],[Order Date]]&lt;=2,"Fast","Slow")
)</f>
        <v>Not Delivered</v>
      </c>
      <c r="T60" s="31" t="str">
        <f>IF(Table5[[#This Row],[Delivery Status]]="Delivered",
Table5[[#This Row],[Delivery Date]]-Table5[[#This Row],[Order Date]],
"")</f>
        <v/>
      </c>
      <c r="U60">
        <f>_xlfn.XLOOKUP(Table5[[#This Row],[Region]],Table3[Region],Table3[Sales Target],"NA",0)</f>
        <v>105000</v>
      </c>
    </row>
    <row r="61" spans="1:21" x14ac:dyDescent="0.25">
      <c r="A61" s="28" t="s">
        <v>144</v>
      </c>
      <c r="B61" s="29">
        <v>45210</v>
      </c>
      <c r="C61" s="29"/>
      <c r="D61" s="29">
        <v>45211</v>
      </c>
      <c r="E61" s="28" t="s">
        <v>48</v>
      </c>
      <c r="F61" s="28" t="str">
        <f>_xlfn.XLOOKUP(Table5[[#This Row],[Customer ID]],Table4[Customer ID],Table4[Customer Name],"NA",0)</f>
        <v>Ava Robinson</v>
      </c>
      <c r="G61" s="28" t="str">
        <f>_xlfn.XLOOKUP(Table5[[#This Row],[Customer ID]],Table4[Customer ID],Table4[Customer Type],"NA",0)</f>
        <v>Prime</v>
      </c>
      <c r="H61" s="28" t="s">
        <v>53</v>
      </c>
      <c r="I61" s="28" t="str">
        <f>_xlfn.XLOOKUP(Table5[[#This Row],[Product ID]],Table2[Product ID],Table2[Product Name],"NA",0)</f>
        <v>Formal Shirt</v>
      </c>
      <c r="J61" s="30" t="str">
        <f>_xlfn.XLOOKUP(Table5[[#This Row],[Product ID]],Table2[Product ID],Table2[Category],"NA",0)</f>
        <v>Fashion</v>
      </c>
      <c r="K61" s="28" t="s">
        <v>50</v>
      </c>
      <c r="L61" s="28">
        <v>44</v>
      </c>
      <c r="M61" s="28">
        <v>5</v>
      </c>
      <c r="N61" s="31">
        <v>220</v>
      </c>
      <c r="O61" s="28" t="s">
        <v>17</v>
      </c>
      <c r="P61" s="28" t="s">
        <v>18</v>
      </c>
      <c r="Q61" s="28" t="s">
        <v>30</v>
      </c>
      <c r="R61" s="37" t="str">
        <f>IF(OR(Table5[[#This Row],[Delivery Status]]="Cancelled",Table5[[#This Row],[Cancel Date]]&lt;&gt;""),"Cancelled","Active")</f>
        <v>Cancelled</v>
      </c>
      <c r="S61" s="28" t="str">
        <f>IF(Table5[[#This Row],[Delivery Status]]&lt;&gt;"Delivered",
"Not Delivered",
IF(Table5[[#This Row],[Delivery Date]]-Table5[[#This Row],[Order Date]]&lt;=2,"Fast","Slow")
)</f>
        <v>Not Delivered</v>
      </c>
      <c r="T61" s="31" t="str">
        <f>IF(Table5[[#This Row],[Delivery Status]]="Delivered",
Table5[[#This Row],[Delivery Date]]-Table5[[#This Row],[Order Date]],
"")</f>
        <v/>
      </c>
      <c r="U61">
        <f>_xlfn.XLOOKUP(Table5[[#This Row],[Region]],Table3[Region],Table3[Sales Target],"NA",0)</f>
        <v>90750</v>
      </c>
    </row>
    <row r="62" spans="1:21" x14ac:dyDescent="0.25">
      <c r="A62" s="28" t="s">
        <v>145</v>
      </c>
      <c r="B62" s="29">
        <v>45179</v>
      </c>
      <c r="C62" s="29"/>
      <c r="D62" s="29"/>
      <c r="E62" s="28" t="s">
        <v>146</v>
      </c>
      <c r="F62" s="28" t="str">
        <f>_xlfn.XLOOKUP(Table5[[#This Row],[Customer ID]],Table4[Customer ID],Table4[Customer Name],"NA",0)</f>
        <v>Scarlett Adams</v>
      </c>
      <c r="G62" s="28" t="str">
        <f>_xlfn.XLOOKUP(Table5[[#This Row],[Customer ID]],Table4[Customer ID],Table4[Customer Type],"NA",0)</f>
        <v>Business</v>
      </c>
      <c r="H62" s="28" t="s">
        <v>76</v>
      </c>
      <c r="I62" s="28" t="str">
        <f>_xlfn.XLOOKUP(Table5[[#This Row],[Product ID]],Table2[Product ID],Table2[Product Name],"NA",0)</f>
        <v>Textbook</v>
      </c>
      <c r="J62" s="30" t="str">
        <f>_xlfn.XLOOKUP(Table5[[#This Row],[Product ID]],Table2[Product ID],Table2[Category],"NA",0)</f>
        <v>Books</v>
      </c>
      <c r="K62" s="28" t="s">
        <v>23</v>
      </c>
      <c r="L62" s="28">
        <v>69</v>
      </c>
      <c r="M62" s="28">
        <v>4</v>
      </c>
      <c r="N62" s="31">
        <v>276</v>
      </c>
      <c r="O62" s="28" t="s">
        <v>46</v>
      </c>
      <c r="P62" s="28" t="s">
        <v>29</v>
      </c>
      <c r="Q62" s="28" t="s">
        <v>19</v>
      </c>
      <c r="R62" s="37" t="str">
        <f>IF(OR(Table5[[#This Row],[Delivery Status]]="Cancelled",Table5[[#This Row],[Cancel Date]]&lt;&gt;""),"Cancelled","Active")</f>
        <v>Active</v>
      </c>
      <c r="S62" s="28" t="str">
        <f>IF(Table5[[#This Row],[Delivery Status]]&lt;&gt;"Delivered",
"Not Delivered",
IF(Table5[[#This Row],[Delivery Date]]-Table5[[#This Row],[Order Date]]&lt;=2,"Fast","Slow")
)</f>
        <v>Not Delivered</v>
      </c>
      <c r="T62" s="31" t="str">
        <f>IF(Table5[[#This Row],[Delivery Status]]="Delivered",
Table5[[#This Row],[Delivery Date]]-Table5[[#This Row],[Order Date]],
"")</f>
        <v/>
      </c>
      <c r="U62">
        <f>_xlfn.XLOOKUP(Table5[[#This Row],[Region]],Table3[Region],Table3[Sales Target],"NA",0)</f>
        <v>50500</v>
      </c>
    </row>
    <row r="63" spans="1:21" x14ac:dyDescent="0.25">
      <c r="A63" s="28" t="s">
        <v>147</v>
      </c>
      <c r="B63" s="29">
        <v>45252</v>
      </c>
      <c r="C63" s="29">
        <v>45259</v>
      </c>
      <c r="D63" s="29"/>
      <c r="E63" s="28" t="s">
        <v>148</v>
      </c>
      <c r="F63" s="28" t="str">
        <f>_xlfn.XLOOKUP(Table5[[#This Row],[Customer ID]],Table4[Customer ID],Table4[Customer Name],"NA",0)</f>
        <v>Elijah Lewis</v>
      </c>
      <c r="G63" s="28" t="str">
        <f>_xlfn.XLOOKUP(Table5[[#This Row],[Customer ID]],Table4[Customer ID],Table4[Customer Type],"NA",0)</f>
        <v>Individual</v>
      </c>
      <c r="H63" s="28" t="s">
        <v>81</v>
      </c>
      <c r="I63" s="28" t="str">
        <f>_xlfn.XLOOKUP(Table5[[#This Row],[Product ID]],Table2[Product ID],Table2[Product Name],"NA",0)</f>
        <v>Smartphone</v>
      </c>
      <c r="J63" s="30" t="str">
        <f>_xlfn.XLOOKUP(Table5[[#This Row],[Product ID]],Table2[Product ID],Table2[Category],"NA",0)</f>
        <v>Electronics</v>
      </c>
      <c r="K63" s="28" t="s">
        <v>16</v>
      </c>
      <c r="L63" s="28">
        <v>815</v>
      </c>
      <c r="M63" s="28">
        <v>4</v>
      </c>
      <c r="N63" s="31">
        <v>3260</v>
      </c>
      <c r="O63" s="28" t="s">
        <v>24</v>
      </c>
      <c r="P63" s="28" t="s">
        <v>25</v>
      </c>
      <c r="Q63" s="28" t="s">
        <v>30</v>
      </c>
      <c r="R63" s="37" t="str">
        <f>IF(OR(Table5[[#This Row],[Delivery Status]]="Cancelled",Table5[[#This Row],[Cancel Date]]&lt;&gt;""),"Cancelled","Active")</f>
        <v>Active</v>
      </c>
      <c r="S63" s="28" t="str">
        <f>IF(Table5[[#This Row],[Delivery Status]]&lt;&gt;"Delivered",
"Not Delivered",
IF(Table5[[#This Row],[Delivery Date]]-Table5[[#This Row],[Order Date]]&lt;=2,"Fast","Slow")
)</f>
        <v>Slow</v>
      </c>
      <c r="T63" s="31">
        <f>IF(Table5[[#This Row],[Delivery Status]]="Delivered",
Table5[[#This Row],[Delivery Date]]-Table5[[#This Row],[Order Date]],
"")</f>
        <v>7</v>
      </c>
      <c r="U63">
        <f>_xlfn.XLOOKUP(Table5[[#This Row],[Region]],Table3[Region],Table3[Sales Target],"NA",0)</f>
        <v>105000</v>
      </c>
    </row>
    <row r="64" spans="1:21" x14ac:dyDescent="0.25">
      <c r="A64" s="28" t="s">
        <v>149</v>
      </c>
      <c r="B64" s="29">
        <v>45048</v>
      </c>
      <c r="C64" s="29"/>
      <c r="D64" s="29"/>
      <c r="E64" s="28" t="s">
        <v>150</v>
      </c>
      <c r="F64" s="28" t="str">
        <f>_xlfn.XLOOKUP(Table5[[#This Row],[Customer ID]],Table4[Customer ID],Table4[Customer Name],"NA",0)</f>
        <v>Noah Wilson</v>
      </c>
      <c r="G64" s="28" t="str">
        <f>_xlfn.XLOOKUP(Table5[[#This Row],[Customer ID]],Table4[Customer ID],Table4[Customer Type],"NA",0)</f>
        <v>Prime</v>
      </c>
      <c r="H64" s="28" t="s">
        <v>69</v>
      </c>
      <c r="I64" s="28" t="str">
        <f>_xlfn.XLOOKUP(Table5[[#This Row],[Product ID]],Table2[Product ID],Table2[Product Name],"NA",0)</f>
        <v>T-Shirt</v>
      </c>
      <c r="J64" s="30" t="str">
        <f>_xlfn.XLOOKUP(Table5[[#This Row],[Product ID]],Table2[Product ID],Table2[Category],"NA",0)</f>
        <v>Fashion</v>
      </c>
      <c r="K64" s="28" t="s">
        <v>23</v>
      </c>
      <c r="L64" s="28">
        <v>27</v>
      </c>
      <c r="M64" s="28">
        <v>1</v>
      </c>
      <c r="N64" s="31">
        <v>27</v>
      </c>
      <c r="O64" s="28" t="s">
        <v>46</v>
      </c>
      <c r="P64" s="28" t="s">
        <v>29</v>
      </c>
      <c r="Q64" s="28" t="s">
        <v>38</v>
      </c>
      <c r="R64" s="37" t="str">
        <f>IF(OR(Table5[[#This Row],[Delivery Status]]="Cancelled",Table5[[#This Row],[Cancel Date]]&lt;&gt;""),"Cancelled","Active")</f>
        <v>Active</v>
      </c>
      <c r="S64" s="28" t="str">
        <f>IF(Table5[[#This Row],[Delivery Status]]&lt;&gt;"Delivered",
"Not Delivered",
IF(Table5[[#This Row],[Delivery Date]]-Table5[[#This Row],[Order Date]]&lt;=2,"Fast","Slow")
)</f>
        <v>Not Delivered</v>
      </c>
      <c r="T64" s="31" t="str">
        <f>IF(Table5[[#This Row],[Delivery Status]]="Delivered",
Table5[[#This Row],[Delivery Date]]-Table5[[#This Row],[Order Date]],
"")</f>
        <v/>
      </c>
      <c r="U64">
        <f>_xlfn.XLOOKUP(Table5[[#This Row],[Region]],Table3[Region],Table3[Sales Target],"NA",0)</f>
        <v>50500</v>
      </c>
    </row>
    <row r="65" spans="1:21" x14ac:dyDescent="0.25">
      <c r="A65" s="28" t="s">
        <v>151</v>
      </c>
      <c r="B65" s="29">
        <v>45285</v>
      </c>
      <c r="C65" s="29">
        <v>45289</v>
      </c>
      <c r="D65" s="29"/>
      <c r="E65" s="28" t="s">
        <v>152</v>
      </c>
      <c r="F65" s="28" t="str">
        <f>_xlfn.XLOOKUP(Table5[[#This Row],[Customer ID]],Table4[Customer ID],Table4[Customer Name],"NA",0)</f>
        <v>Noah Wilson</v>
      </c>
      <c r="G65" s="28" t="str">
        <f>_xlfn.XLOOKUP(Table5[[#This Row],[Customer ID]],Table4[Customer ID],Table4[Customer Type],"NA",0)</f>
        <v>Business</v>
      </c>
      <c r="H65" s="28" t="s">
        <v>55</v>
      </c>
      <c r="I65" s="28" t="str">
        <f>_xlfn.XLOOKUP(Table5[[#This Row],[Product ID]],Table2[Product ID],Table2[Product Name],"NA",0)</f>
        <v>Cookware Set</v>
      </c>
      <c r="J65" s="30" t="str">
        <f>_xlfn.XLOOKUP(Table5[[#This Row],[Product ID]],Table2[Product ID],Table2[Category],"NA",0)</f>
        <v>Home</v>
      </c>
      <c r="K65" s="28" t="s">
        <v>50</v>
      </c>
      <c r="L65" s="28">
        <v>139</v>
      </c>
      <c r="M65" s="28">
        <v>5</v>
      </c>
      <c r="N65" s="31">
        <v>695</v>
      </c>
      <c r="O65" s="28" t="s">
        <v>17</v>
      </c>
      <c r="P65" s="28" t="s">
        <v>25</v>
      </c>
      <c r="Q65" s="28" t="s">
        <v>30</v>
      </c>
      <c r="R65" s="37" t="str">
        <f>IF(OR(Table5[[#This Row],[Delivery Status]]="Cancelled",Table5[[#This Row],[Cancel Date]]&lt;&gt;""),"Cancelled","Active")</f>
        <v>Active</v>
      </c>
      <c r="S65" s="28" t="str">
        <f>IF(Table5[[#This Row],[Delivery Status]]&lt;&gt;"Delivered",
"Not Delivered",
IF(Table5[[#This Row],[Delivery Date]]-Table5[[#This Row],[Order Date]]&lt;=2,"Fast","Slow")
)</f>
        <v>Slow</v>
      </c>
      <c r="T65" s="31">
        <f>IF(Table5[[#This Row],[Delivery Status]]="Delivered",
Table5[[#This Row],[Delivery Date]]-Table5[[#This Row],[Order Date]],
"")</f>
        <v>4</v>
      </c>
      <c r="U65">
        <f>_xlfn.XLOOKUP(Table5[[#This Row],[Region]],Table3[Region],Table3[Sales Target],"NA",0)</f>
        <v>90750</v>
      </c>
    </row>
    <row r="66" spans="1:21" x14ac:dyDescent="0.25">
      <c r="A66" s="28" t="s">
        <v>153</v>
      </c>
      <c r="B66" s="29">
        <v>45217</v>
      </c>
      <c r="C66" s="29"/>
      <c r="D66" s="29">
        <v>45219</v>
      </c>
      <c r="E66" s="28" t="s">
        <v>40</v>
      </c>
      <c r="F66" s="28" t="str">
        <f>_xlfn.XLOOKUP(Table5[[#This Row],[Customer ID]],Table4[Customer ID],Table4[Customer Name],"NA",0)</f>
        <v>Jackson Allen</v>
      </c>
      <c r="G66" s="28" t="str">
        <f>_xlfn.XLOOKUP(Table5[[#This Row],[Customer ID]],Table4[Customer ID],Table4[Customer Type],"NA",0)</f>
        <v>Business</v>
      </c>
      <c r="H66" s="28" t="s">
        <v>76</v>
      </c>
      <c r="I66" s="28" t="str">
        <f>_xlfn.XLOOKUP(Table5[[#This Row],[Product ID]],Table2[Product ID],Table2[Product Name],"NA",0)</f>
        <v>Textbook</v>
      </c>
      <c r="J66" s="30" t="str">
        <f>_xlfn.XLOOKUP(Table5[[#This Row],[Product ID]],Table2[Product ID],Table2[Category],"NA",0)</f>
        <v>Books</v>
      </c>
      <c r="K66" s="28" t="s">
        <v>28</v>
      </c>
      <c r="L66" s="28">
        <v>69</v>
      </c>
      <c r="M66" s="28">
        <v>3</v>
      </c>
      <c r="N66" s="31">
        <v>207</v>
      </c>
      <c r="O66" s="28" t="s">
        <v>33</v>
      </c>
      <c r="P66" s="28" t="s">
        <v>18</v>
      </c>
      <c r="Q66" s="28" t="s">
        <v>38</v>
      </c>
      <c r="R66" s="37" t="str">
        <f>IF(OR(Table5[[#This Row],[Delivery Status]]="Cancelled",Table5[[#This Row],[Cancel Date]]&lt;&gt;""),"Cancelled","Active")</f>
        <v>Cancelled</v>
      </c>
      <c r="S66" s="28" t="str">
        <f>IF(Table5[[#This Row],[Delivery Status]]&lt;&gt;"Delivered",
"Not Delivered",
IF(Table5[[#This Row],[Delivery Date]]-Table5[[#This Row],[Order Date]]&lt;=2,"Fast","Slow")
)</f>
        <v>Not Delivered</v>
      </c>
      <c r="T66" s="31" t="str">
        <f>IF(Table5[[#This Row],[Delivery Status]]="Delivered",
Table5[[#This Row],[Delivery Date]]-Table5[[#This Row],[Order Date]],
"")</f>
        <v/>
      </c>
      <c r="U66">
        <f>_xlfn.XLOOKUP(Table5[[#This Row],[Region]],Table3[Region],Table3[Sales Target],"NA",0)</f>
        <v>91500</v>
      </c>
    </row>
    <row r="67" spans="1:21" x14ac:dyDescent="0.25">
      <c r="A67" s="28" t="s">
        <v>154</v>
      </c>
      <c r="B67" s="29">
        <v>45066</v>
      </c>
      <c r="C67" s="29"/>
      <c r="D67" s="29">
        <v>45067</v>
      </c>
      <c r="E67" s="28" t="s">
        <v>40</v>
      </c>
      <c r="F67" s="28" t="str">
        <f>_xlfn.XLOOKUP(Table5[[#This Row],[Customer ID]],Table4[Customer ID],Table4[Customer Name],"NA",0)</f>
        <v>Jackson Allen</v>
      </c>
      <c r="G67" s="28" t="str">
        <f>_xlfn.XLOOKUP(Table5[[#This Row],[Customer ID]],Table4[Customer ID],Table4[Customer Type],"NA",0)</f>
        <v>Business</v>
      </c>
      <c r="H67" s="28" t="s">
        <v>53</v>
      </c>
      <c r="I67" s="28" t="str">
        <f>_xlfn.XLOOKUP(Table5[[#This Row],[Product ID]],Table2[Product ID],Table2[Product Name],"NA",0)</f>
        <v>Formal Shirt</v>
      </c>
      <c r="J67" s="30" t="str">
        <f>_xlfn.XLOOKUP(Table5[[#This Row],[Product ID]],Table2[Product ID],Table2[Category],"NA",0)</f>
        <v>Fashion</v>
      </c>
      <c r="K67" s="28" t="s">
        <v>50</v>
      </c>
      <c r="L67" s="28">
        <v>42</v>
      </c>
      <c r="M67" s="28">
        <v>1</v>
      </c>
      <c r="N67" s="31">
        <v>42</v>
      </c>
      <c r="O67" s="28" t="s">
        <v>17</v>
      </c>
      <c r="P67" s="28" t="s">
        <v>18</v>
      </c>
      <c r="Q67" s="28" t="s">
        <v>19</v>
      </c>
      <c r="R67" s="37" t="str">
        <f>IF(OR(Table5[[#This Row],[Delivery Status]]="Cancelled",Table5[[#This Row],[Cancel Date]]&lt;&gt;""),"Cancelled","Active")</f>
        <v>Cancelled</v>
      </c>
      <c r="S67" s="28" t="str">
        <f>IF(Table5[[#This Row],[Delivery Status]]&lt;&gt;"Delivered",
"Not Delivered",
IF(Table5[[#This Row],[Delivery Date]]-Table5[[#This Row],[Order Date]]&lt;=2,"Fast","Slow")
)</f>
        <v>Not Delivered</v>
      </c>
      <c r="T67" s="31" t="str">
        <f>IF(Table5[[#This Row],[Delivery Status]]="Delivered",
Table5[[#This Row],[Delivery Date]]-Table5[[#This Row],[Order Date]],
"")</f>
        <v/>
      </c>
      <c r="U67">
        <f>_xlfn.XLOOKUP(Table5[[#This Row],[Region]],Table3[Region],Table3[Sales Target],"NA",0)</f>
        <v>90750</v>
      </c>
    </row>
    <row r="68" spans="1:21" x14ac:dyDescent="0.25">
      <c r="A68" s="28" t="s">
        <v>155</v>
      </c>
      <c r="B68" s="29">
        <v>45135</v>
      </c>
      <c r="C68" s="29">
        <v>45137</v>
      </c>
      <c r="D68" s="29"/>
      <c r="E68" s="28" t="s">
        <v>156</v>
      </c>
      <c r="F68" s="28" t="str">
        <f>_xlfn.XLOOKUP(Table5[[#This Row],[Customer ID]],Table4[Customer ID],Table4[Customer Name],"NA",0)</f>
        <v>NA</v>
      </c>
      <c r="G68" s="28" t="str">
        <f>_xlfn.XLOOKUP(Table5[[#This Row],[Customer ID]],Table4[Customer ID],Table4[Customer Type],"NA",0)</f>
        <v>NA</v>
      </c>
      <c r="H68" s="28" t="s">
        <v>114</v>
      </c>
      <c r="I68" s="28" t="str">
        <f>_xlfn.XLOOKUP(Table5[[#This Row],[Product ID]],Table2[Product ID],Table2[Product Name],"NA",0)</f>
        <v>Puzzle</v>
      </c>
      <c r="J68" s="30" t="str">
        <f>_xlfn.XLOOKUP(Table5[[#This Row],[Product ID]],Table2[Product ID],Table2[Category],"NA",0)</f>
        <v>Toys</v>
      </c>
      <c r="K68" s="28" t="s">
        <v>16</v>
      </c>
      <c r="L68" s="28">
        <v>31</v>
      </c>
      <c r="M68" s="28">
        <v>4</v>
      </c>
      <c r="N68" s="31">
        <v>124</v>
      </c>
      <c r="O68" s="28" t="s">
        <v>24</v>
      </c>
      <c r="P68" s="28" t="s">
        <v>25</v>
      </c>
      <c r="Q68" s="28" t="s">
        <v>34</v>
      </c>
      <c r="R68" s="37" t="str">
        <f>IF(OR(Table5[[#This Row],[Delivery Status]]="Cancelled",Table5[[#This Row],[Cancel Date]]&lt;&gt;""),"Cancelled","Active")</f>
        <v>Active</v>
      </c>
      <c r="S68" s="28" t="str">
        <f>IF(Table5[[#This Row],[Delivery Status]]&lt;&gt;"Delivered",
"Not Delivered",
IF(Table5[[#This Row],[Delivery Date]]-Table5[[#This Row],[Order Date]]&lt;=2,"Fast","Slow")
)</f>
        <v>Fast</v>
      </c>
      <c r="T68" s="31">
        <f>IF(Table5[[#This Row],[Delivery Status]]="Delivered",
Table5[[#This Row],[Delivery Date]]-Table5[[#This Row],[Order Date]],
"")</f>
        <v>2</v>
      </c>
      <c r="U68">
        <f>_xlfn.XLOOKUP(Table5[[#This Row],[Region]],Table3[Region],Table3[Sales Target],"NA",0)</f>
        <v>105000</v>
      </c>
    </row>
    <row r="69" spans="1:21" x14ac:dyDescent="0.25">
      <c r="A69" s="28" t="s">
        <v>157</v>
      </c>
      <c r="B69" s="29">
        <v>45278</v>
      </c>
      <c r="C69" s="29"/>
      <c r="D69" s="29"/>
      <c r="E69" s="28" t="s">
        <v>60</v>
      </c>
      <c r="F69" s="28" t="str">
        <f>_xlfn.XLOOKUP(Table5[[#This Row],[Customer ID]],Table4[Customer ID],Table4[Customer Name],"NA",0)</f>
        <v>Emily Johnson</v>
      </c>
      <c r="G69" s="28" t="str">
        <f>_xlfn.XLOOKUP(Table5[[#This Row],[Customer ID]],Table4[Customer ID],Table4[Customer Type],"NA",0)</f>
        <v>Individual</v>
      </c>
      <c r="H69" s="28" t="s">
        <v>44</v>
      </c>
      <c r="I69" s="28" t="str">
        <f>_xlfn.XLOOKUP(Table5[[#This Row],[Product ID]],Table2[Product ID],Table2[Product Name],"NA",0)</f>
        <v>Bluetooth Speaker</v>
      </c>
      <c r="J69" s="30" t="str">
        <f>_xlfn.XLOOKUP(Table5[[#This Row],[Product ID]],Table2[Product ID],Table2[Category],"NA",0)</f>
        <v>Electronics</v>
      </c>
      <c r="K69" s="28" t="s">
        <v>50</v>
      </c>
      <c r="L69" s="28">
        <v>104</v>
      </c>
      <c r="M69" s="28">
        <v>3</v>
      </c>
      <c r="N69" s="31">
        <v>312</v>
      </c>
      <c r="O69" s="28" t="s">
        <v>24</v>
      </c>
      <c r="P69" s="28" t="s">
        <v>29</v>
      </c>
      <c r="Q69" s="28" t="s">
        <v>34</v>
      </c>
      <c r="R69" s="37" t="str">
        <f>IF(OR(Table5[[#This Row],[Delivery Status]]="Cancelled",Table5[[#This Row],[Cancel Date]]&lt;&gt;""),"Cancelled","Active")</f>
        <v>Active</v>
      </c>
      <c r="S69" s="28" t="str">
        <f>IF(Table5[[#This Row],[Delivery Status]]&lt;&gt;"Delivered",
"Not Delivered",
IF(Table5[[#This Row],[Delivery Date]]-Table5[[#This Row],[Order Date]]&lt;=2,"Fast","Slow")
)</f>
        <v>Not Delivered</v>
      </c>
      <c r="T69" s="31" t="str">
        <f>IF(Table5[[#This Row],[Delivery Status]]="Delivered",
Table5[[#This Row],[Delivery Date]]-Table5[[#This Row],[Order Date]],
"")</f>
        <v/>
      </c>
      <c r="U69">
        <f>_xlfn.XLOOKUP(Table5[[#This Row],[Region]],Table3[Region],Table3[Sales Target],"NA",0)</f>
        <v>90750</v>
      </c>
    </row>
    <row r="70" spans="1:21" x14ac:dyDescent="0.25">
      <c r="A70" s="28" t="s">
        <v>158</v>
      </c>
      <c r="B70" s="29">
        <v>45109</v>
      </c>
      <c r="C70" s="29"/>
      <c r="D70" s="29">
        <v>45114</v>
      </c>
      <c r="E70" s="28" t="s">
        <v>32</v>
      </c>
      <c r="F70" s="28" t="str">
        <f>_xlfn.XLOOKUP(Table5[[#This Row],[Customer ID]],Table4[Customer ID],Table4[Customer Name],"NA",0)</f>
        <v>Grace Ward</v>
      </c>
      <c r="G70" s="28" t="str">
        <f>_xlfn.XLOOKUP(Table5[[#This Row],[Customer ID]],Table4[Customer ID],Table4[Customer Type],"NA",0)</f>
        <v>Business</v>
      </c>
      <c r="H70" s="28" t="s">
        <v>37</v>
      </c>
      <c r="I70" s="28" t="str">
        <f>_xlfn.XLOOKUP(Table5[[#This Row],[Product ID]],Table2[Product ID],Table2[Product Name],"NA",0)</f>
        <v>Jeans</v>
      </c>
      <c r="J70" s="30" t="str">
        <f>_xlfn.XLOOKUP(Table5[[#This Row],[Product ID]],Table2[Product ID],Table2[Category],"NA",0)</f>
        <v>Fashion</v>
      </c>
      <c r="K70" s="28" t="s">
        <v>23</v>
      </c>
      <c r="L70" s="28">
        <v>58</v>
      </c>
      <c r="M70" s="28">
        <v>2</v>
      </c>
      <c r="N70" s="31">
        <v>116</v>
      </c>
      <c r="O70" s="28" t="s">
        <v>17</v>
      </c>
      <c r="P70" s="28" t="s">
        <v>18</v>
      </c>
      <c r="Q70" s="28" t="s">
        <v>30</v>
      </c>
      <c r="R70" s="37" t="str">
        <f>IF(OR(Table5[[#This Row],[Delivery Status]]="Cancelled",Table5[[#This Row],[Cancel Date]]&lt;&gt;""),"Cancelled","Active")</f>
        <v>Cancelled</v>
      </c>
      <c r="S70" s="28" t="str">
        <f>IF(Table5[[#This Row],[Delivery Status]]&lt;&gt;"Delivered",
"Not Delivered",
IF(Table5[[#This Row],[Delivery Date]]-Table5[[#This Row],[Order Date]]&lt;=2,"Fast","Slow")
)</f>
        <v>Not Delivered</v>
      </c>
      <c r="T70" s="31" t="str">
        <f>IF(Table5[[#This Row],[Delivery Status]]="Delivered",
Table5[[#This Row],[Delivery Date]]-Table5[[#This Row],[Order Date]],
"")</f>
        <v/>
      </c>
      <c r="U70">
        <f>_xlfn.XLOOKUP(Table5[[#This Row],[Region]],Table3[Region],Table3[Sales Target],"NA",0)</f>
        <v>50500</v>
      </c>
    </row>
    <row r="71" spans="1:21" x14ac:dyDescent="0.25">
      <c r="A71" s="28" t="s">
        <v>159</v>
      </c>
      <c r="B71" s="29">
        <v>45208</v>
      </c>
      <c r="C71" s="29"/>
      <c r="D71" s="29">
        <v>45209</v>
      </c>
      <c r="E71" s="28" t="s">
        <v>40</v>
      </c>
      <c r="F71" s="28" t="str">
        <f>_xlfn.XLOOKUP(Table5[[#This Row],[Customer ID]],Table4[Customer ID],Table4[Customer Name],"NA",0)</f>
        <v>Jackson Allen</v>
      </c>
      <c r="G71" s="28" t="str">
        <f>_xlfn.XLOOKUP(Table5[[#This Row],[Customer ID]],Table4[Customer ID],Table4[Customer Type],"NA",0)</f>
        <v>Business</v>
      </c>
      <c r="H71" s="28" t="s">
        <v>119</v>
      </c>
      <c r="I71" s="28" t="str">
        <f>_xlfn.XLOOKUP(Table5[[#This Row],[Product ID]],Table2[Product ID],Table2[Product Name],"NA",0)</f>
        <v>Leg Set</v>
      </c>
      <c r="J71" s="30" t="str">
        <f>_xlfn.XLOOKUP(Table5[[#This Row],[Product ID]],Table2[Product ID],Table2[Category],"NA",0)</f>
        <v>Toys</v>
      </c>
      <c r="K71" s="28" t="s">
        <v>50</v>
      </c>
      <c r="L71" s="28">
        <v>62</v>
      </c>
      <c r="M71" s="28">
        <v>2</v>
      </c>
      <c r="N71" s="31">
        <v>124</v>
      </c>
      <c r="O71" s="28" t="s">
        <v>46</v>
      </c>
      <c r="P71" s="28" t="s">
        <v>18</v>
      </c>
      <c r="Q71" s="28" t="s">
        <v>19</v>
      </c>
      <c r="R71" s="37" t="str">
        <f>IF(OR(Table5[[#This Row],[Delivery Status]]="Cancelled",Table5[[#This Row],[Cancel Date]]&lt;&gt;""),"Cancelled","Active")</f>
        <v>Cancelled</v>
      </c>
      <c r="S71" s="28" t="str">
        <f>IF(Table5[[#This Row],[Delivery Status]]&lt;&gt;"Delivered",
"Not Delivered",
IF(Table5[[#This Row],[Delivery Date]]-Table5[[#This Row],[Order Date]]&lt;=2,"Fast","Slow")
)</f>
        <v>Not Delivered</v>
      </c>
      <c r="T71" s="31" t="str">
        <f>IF(Table5[[#This Row],[Delivery Status]]="Delivered",
Table5[[#This Row],[Delivery Date]]-Table5[[#This Row],[Order Date]],
"")</f>
        <v/>
      </c>
      <c r="U71">
        <f>_xlfn.XLOOKUP(Table5[[#This Row],[Region]],Table3[Region],Table3[Sales Target],"NA",0)</f>
        <v>90750</v>
      </c>
    </row>
    <row r="72" spans="1:21" x14ac:dyDescent="0.25">
      <c r="A72" s="28" t="s">
        <v>160</v>
      </c>
      <c r="B72" s="29">
        <v>45278</v>
      </c>
      <c r="C72" s="29">
        <v>45285</v>
      </c>
      <c r="D72" s="29"/>
      <c r="E72" s="28" t="s">
        <v>118</v>
      </c>
      <c r="F72" s="28" t="str">
        <f>_xlfn.XLOOKUP(Table5[[#This Row],[Customer ID]],Table4[Customer ID],Table4[Customer Name],"NA",0)</f>
        <v>Ava Robinson</v>
      </c>
      <c r="G72" s="28" t="str">
        <f>_xlfn.XLOOKUP(Table5[[#This Row],[Customer ID]],Table4[Customer ID],Table4[Customer Type],"NA",0)</f>
        <v>Prime</v>
      </c>
      <c r="H72" s="28" t="s">
        <v>53</v>
      </c>
      <c r="I72" s="28" t="str">
        <f>_xlfn.XLOOKUP(Table5[[#This Row],[Product ID]],Table2[Product ID],Table2[Product Name],"NA",0)</f>
        <v>Formal Shirt</v>
      </c>
      <c r="J72" s="30" t="str">
        <f>_xlfn.XLOOKUP(Table5[[#This Row],[Product ID]],Table2[Product ID],Table2[Category],"NA",0)</f>
        <v>Fashion</v>
      </c>
      <c r="K72" s="28" t="s">
        <v>23</v>
      </c>
      <c r="L72" s="28">
        <v>43</v>
      </c>
      <c r="M72" s="28">
        <v>1</v>
      </c>
      <c r="N72" s="31">
        <v>43</v>
      </c>
      <c r="O72" s="28" t="s">
        <v>24</v>
      </c>
      <c r="P72" s="28" t="s">
        <v>25</v>
      </c>
      <c r="Q72" s="28" t="s">
        <v>38</v>
      </c>
      <c r="R72" s="37" t="str">
        <f>IF(OR(Table5[[#This Row],[Delivery Status]]="Cancelled",Table5[[#This Row],[Cancel Date]]&lt;&gt;""),"Cancelled","Active")</f>
        <v>Active</v>
      </c>
      <c r="S72" s="28" t="str">
        <f>IF(Table5[[#This Row],[Delivery Status]]&lt;&gt;"Delivered",
"Not Delivered",
IF(Table5[[#This Row],[Delivery Date]]-Table5[[#This Row],[Order Date]]&lt;=2,"Fast","Slow")
)</f>
        <v>Slow</v>
      </c>
      <c r="T72" s="31">
        <f>IF(Table5[[#This Row],[Delivery Status]]="Delivered",
Table5[[#This Row],[Delivery Date]]-Table5[[#This Row],[Order Date]],
"")</f>
        <v>7</v>
      </c>
      <c r="U72">
        <f>_xlfn.XLOOKUP(Table5[[#This Row],[Region]],Table3[Region],Table3[Sales Target],"NA",0)</f>
        <v>50500</v>
      </c>
    </row>
    <row r="73" spans="1:21" x14ac:dyDescent="0.25">
      <c r="A73" s="28" t="s">
        <v>161</v>
      </c>
      <c r="B73" s="29">
        <v>44992</v>
      </c>
      <c r="C73" s="29"/>
      <c r="D73" s="29"/>
      <c r="E73" s="28" t="s">
        <v>148</v>
      </c>
      <c r="F73" s="28" t="str">
        <f>_xlfn.XLOOKUP(Table5[[#This Row],[Customer ID]],Table4[Customer ID],Table4[Customer Name],"NA",0)</f>
        <v>Elijah Lewis</v>
      </c>
      <c r="G73" s="28" t="str">
        <f>_xlfn.XLOOKUP(Table5[[#This Row],[Customer ID]],Table4[Customer ID],Table4[Customer Type],"NA",0)</f>
        <v>Individual</v>
      </c>
      <c r="H73" s="28" t="s">
        <v>119</v>
      </c>
      <c r="I73" s="28" t="str">
        <f>_xlfn.XLOOKUP(Table5[[#This Row],[Product ID]],Table2[Product ID],Table2[Product Name],"NA",0)</f>
        <v>Leg Set</v>
      </c>
      <c r="J73" s="30" t="str">
        <f>_xlfn.XLOOKUP(Table5[[#This Row],[Product ID]],Table2[Product ID],Table2[Category],"NA",0)</f>
        <v>Toys</v>
      </c>
      <c r="K73" s="28" t="s">
        <v>23</v>
      </c>
      <c r="L73" s="28">
        <v>62</v>
      </c>
      <c r="M73" s="28">
        <v>4</v>
      </c>
      <c r="N73" s="31">
        <v>248</v>
      </c>
      <c r="O73" s="28" t="s">
        <v>46</v>
      </c>
      <c r="P73" s="28" t="s">
        <v>29</v>
      </c>
      <c r="Q73" s="28" t="s">
        <v>38</v>
      </c>
      <c r="R73" s="37" t="str">
        <f>IF(OR(Table5[[#This Row],[Delivery Status]]="Cancelled",Table5[[#This Row],[Cancel Date]]&lt;&gt;""),"Cancelled","Active")</f>
        <v>Active</v>
      </c>
      <c r="S73" s="28" t="str">
        <f>IF(Table5[[#This Row],[Delivery Status]]&lt;&gt;"Delivered",
"Not Delivered",
IF(Table5[[#This Row],[Delivery Date]]-Table5[[#This Row],[Order Date]]&lt;=2,"Fast","Slow")
)</f>
        <v>Not Delivered</v>
      </c>
      <c r="T73" s="31" t="str">
        <f>IF(Table5[[#This Row],[Delivery Status]]="Delivered",
Table5[[#This Row],[Delivery Date]]-Table5[[#This Row],[Order Date]],
"")</f>
        <v/>
      </c>
      <c r="U73">
        <f>_xlfn.XLOOKUP(Table5[[#This Row],[Region]],Table3[Region],Table3[Sales Target],"NA",0)</f>
        <v>50500</v>
      </c>
    </row>
    <row r="74" spans="1:21" x14ac:dyDescent="0.25">
      <c r="A74" s="28" t="s">
        <v>162</v>
      </c>
      <c r="B74" s="29">
        <v>45129</v>
      </c>
      <c r="C74" s="29"/>
      <c r="D74" s="29">
        <v>45132</v>
      </c>
      <c r="E74" s="28" t="s">
        <v>87</v>
      </c>
      <c r="F74" s="28" t="str">
        <f>_xlfn.XLOOKUP(Table5[[#This Row],[Customer ID]],Table4[Customer ID],Table4[Customer Name],"NA",0)</f>
        <v>Lily Bennett</v>
      </c>
      <c r="G74" s="28" t="str">
        <f>_xlfn.XLOOKUP(Table5[[#This Row],[Customer ID]],Table4[Customer ID],Table4[Customer Type],"NA",0)</f>
        <v>Business</v>
      </c>
      <c r="H74" s="28" t="s">
        <v>64</v>
      </c>
      <c r="I74" s="28" t="str">
        <f>_xlfn.XLOOKUP(Table5[[#This Row],[Product ID]],Table2[Product ID],Table2[Product Name],"NA",0)</f>
        <v>Shoes</v>
      </c>
      <c r="J74" s="30" t="str">
        <f>_xlfn.XLOOKUP(Table5[[#This Row],[Product ID]],Table2[Product ID],Table2[Category],"NA",0)</f>
        <v>Fashion</v>
      </c>
      <c r="K74" s="28" t="s">
        <v>16</v>
      </c>
      <c r="L74" s="28">
        <v>95</v>
      </c>
      <c r="M74" s="28">
        <v>2</v>
      </c>
      <c r="N74" s="31">
        <v>190</v>
      </c>
      <c r="O74" s="28" t="s">
        <v>33</v>
      </c>
      <c r="P74" s="28" t="s">
        <v>18</v>
      </c>
      <c r="Q74" s="28" t="s">
        <v>34</v>
      </c>
      <c r="R74" s="37" t="str">
        <f>IF(OR(Table5[[#This Row],[Delivery Status]]="Cancelled",Table5[[#This Row],[Cancel Date]]&lt;&gt;""),"Cancelled","Active")</f>
        <v>Cancelled</v>
      </c>
      <c r="S74" s="28" t="str">
        <f>IF(Table5[[#This Row],[Delivery Status]]&lt;&gt;"Delivered",
"Not Delivered",
IF(Table5[[#This Row],[Delivery Date]]-Table5[[#This Row],[Order Date]]&lt;=2,"Fast","Slow")
)</f>
        <v>Not Delivered</v>
      </c>
      <c r="T74" s="31" t="str">
        <f>IF(Table5[[#This Row],[Delivery Status]]="Delivered",
Table5[[#This Row],[Delivery Date]]-Table5[[#This Row],[Order Date]],
"")</f>
        <v/>
      </c>
      <c r="U74">
        <f>_xlfn.XLOOKUP(Table5[[#This Row],[Region]],Table3[Region],Table3[Sales Target],"NA",0)</f>
        <v>105000</v>
      </c>
    </row>
    <row r="75" spans="1:21" x14ac:dyDescent="0.25">
      <c r="A75" s="28" t="s">
        <v>163</v>
      </c>
      <c r="B75" s="29">
        <v>44944</v>
      </c>
      <c r="C75" s="29">
        <v>44950</v>
      </c>
      <c r="D75" s="29"/>
      <c r="E75" s="28" t="s">
        <v>85</v>
      </c>
      <c r="F75" s="28" t="str">
        <f>_xlfn.XLOOKUP(Table5[[#This Row],[Customer ID]],Table4[Customer ID],Table4[Customer Name],"NA",0)</f>
        <v>Elijah Lewis</v>
      </c>
      <c r="G75" s="28" t="str">
        <f>_xlfn.XLOOKUP(Table5[[#This Row],[Customer ID]],Table4[Customer ID],Table4[Customer Type],"NA",0)</f>
        <v>Prime</v>
      </c>
      <c r="H75" s="28" t="s">
        <v>49</v>
      </c>
      <c r="I75" s="28" t="str">
        <f>_xlfn.XLOOKUP(Table5[[#This Row],[Product ID]],Table2[Product ID],Table2[Product Name],"NA",0)</f>
        <v>Wall Clock</v>
      </c>
      <c r="J75" s="30" t="str">
        <f>_xlfn.XLOOKUP(Table5[[#This Row],[Product ID]],Table2[Product ID],Table2[Category],"NA",0)</f>
        <v>Home</v>
      </c>
      <c r="K75" s="28" t="s">
        <v>45</v>
      </c>
      <c r="L75" s="28">
        <v>36</v>
      </c>
      <c r="M75" s="28">
        <v>4</v>
      </c>
      <c r="N75" s="31">
        <v>144</v>
      </c>
      <c r="O75" s="28" t="s">
        <v>17</v>
      </c>
      <c r="P75" s="28" t="s">
        <v>25</v>
      </c>
      <c r="Q75" s="28" t="s">
        <v>61</v>
      </c>
      <c r="R75" s="37" t="str">
        <f>IF(OR(Table5[[#This Row],[Delivery Status]]="Cancelled",Table5[[#This Row],[Cancel Date]]&lt;&gt;""),"Cancelled","Active")</f>
        <v>Active</v>
      </c>
      <c r="S75" s="28" t="str">
        <f>IF(Table5[[#This Row],[Delivery Status]]&lt;&gt;"Delivered",
"Not Delivered",
IF(Table5[[#This Row],[Delivery Date]]-Table5[[#This Row],[Order Date]]&lt;=2,"Fast","Slow")
)</f>
        <v>Slow</v>
      </c>
      <c r="T75" s="31">
        <f>IF(Table5[[#This Row],[Delivery Status]]="Delivered",
Table5[[#This Row],[Delivery Date]]-Table5[[#This Row],[Order Date]],
"")</f>
        <v>6</v>
      </c>
      <c r="U75">
        <f>_xlfn.XLOOKUP(Table5[[#This Row],[Region]],Table3[Region],Table3[Sales Target],"NA",0)</f>
        <v>97500</v>
      </c>
    </row>
    <row r="76" spans="1:21" x14ac:dyDescent="0.25">
      <c r="A76" s="28" t="s">
        <v>164</v>
      </c>
      <c r="B76" s="29">
        <v>45070</v>
      </c>
      <c r="C76" s="29"/>
      <c r="D76" s="29"/>
      <c r="E76" s="28" t="s">
        <v>43</v>
      </c>
      <c r="F76" s="28" t="str">
        <f>_xlfn.XLOOKUP(Table5[[#This Row],[Customer ID]],Table4[Customer ID],Table4[Customer Name],"NA",0)</f>
        <v>Noah Wilson</v>
      </c>
      <c r="G76" s="28" t="str">
        <f>_xlfn.XLOOKUP(Table5[[#This Row],[Customer ID]],Table4[Customer ID],Table4[Customer Type],"NA",0)</f>
        <v>Prime</v>
      </c>
      <c r="H76" s="28" t="s">
        <v>67</v>
      </c>
      <c r="I76" s="28" t="str">
        <f>_xlfn.XLOOKUP(Table5[[#This Row],[Product ID]],Table2[Product ID],Table2[Product Name],"NA",0)</f>
        <v>Gaming Mouse</v>
      </c>
      <c r="J76" s="30" t="str">
        <f>_xlfn.XLOOKUP(Table5[[#This Row],[Product ID]],Table2[Product ID],Table2[Category],"NA",0)</f>
        <v>Electronics</v>
      </c>
      <c r="K76" s="28" t="s">
        <v>23</v>
      </c>
      <c r="L76" s="28">
        <v>73</v>
      </c>
      <c r="M76" s="28">
        <v>5</v>
      </c>
      <c r="N76" s="31">
        <v>365</v>
      </c>
      <c r="O76" s="28" t="s">
        <v>17</v>
      </c>
      <c r="P76" s="28" t="s">
        <v>29</v>
      </c>
      <c r="Q76" s="28" t="s">
        <v>19</v>
      </c>
      <c r="R76" s="37" t="str">
        <f>IF(OR(Table5[[#This Row],[Delivery Status]]="Cancelled",Table5[[#This Row],[Cancel Date]]&lt;&gt;""),"Cancelled","Active")</f>
        <v>Active</v>
      </c>
      <c r="S76" s="28" t="str">
        <f>IF(Table5[[#This Row],[Delivery Status]]&lt;&gt;"Delivered",
"Not Delivered",
IF(Table5[[#This Row],[Delivery Date]]-Table5[[#This Row],[Order Date]]&lt;=2,"Fast","Slow")
)</f>
        <v>Not Delivered</v>
      </c>
      <c r="T76" s="31" t="str">
        <f>IF(Table5[[#This Row],[Delivery Status]]="Delivered",
Table5[[#This Row],[Delivery Date]]-Table5[[#This Row],[Order Date]],
"")</f>
        <v/>
      </c>
      <c r="U76">
        <f>_xlfn.XLOOKUP(Table5[[#This Row],[Region]],Table3[Region],Table3[Sales Target],"NA",0)</f>
        <v>50500</v>
      </c>
    </row>
    <row r="77" spans="1:21" x14ac:dyDescent="0.25">
      <c r="A77" s="28" t="s">
        <v>165</v>
      </c>
      <c r="B77" s="29">
        <v>45172</v>
      </c>
      <c r="C77" s="29">
        <v>45178</v>
      </c>
      <c r="D77" s="29"/>
      <c r="E77" s="28" t="s">
        <v>63</v>
      </c>
      <c r="F77" s="28" t="str">
        <f>_xlfn.XLOOKUP(Table5[[#This Row],[Customer ID]],Table4[Customer ID],Table4[Customer Name],"NA",0)</f>
        <v>Charlotte Reed</v>
      </c>
      <c r="G77" s="28" t="str">
        <f>_xlfn.XLOOKUP(Table5[[#This Row],[Customer ID]],Table4[Customer ID],Table4[Customer Type],"NA",0)</f>
        <v>Individual</v>
      </c>
      <c r="H77" s="28" t="s">
        <v>53</v>
      </c>
      <c r="I77" s="28" t="str">
        <f>_xlfn.XLOOKUP(Table5[[#This Row],[Product ID]],Table2[Product ID],Table2[Product Name],"NA",0)</f>
        <v>Formal Shirt</v>
      </c>
      <c r="J77" s="30" t="str">
        <f>_xlfn.XLOOKUP(Table5[[#This Row],[Product ID]],Table2[Product ID],Table2[Category],"NA",0)</f>
        <v>Fashion</v>
      </c>
      <c r="K77" s="28" t="s">
        <v>16</v>
      </c>
      <c r="L77" s="28">
        <v>43</v>
      </c>
      <c r="M77" s="28">
        <v>4</v>
      </c>
      <c r="N77" s="31">
        <v>172</v>
      </c>
      <c r="O77" s="28" t="s">
        <v>46</v>
      </c>
      <c r="P77" s="28" t="s">
        <v>25</v>
      </c>
      <c r="Q77" s="28" t="s">
        <v>19</v>
      </c>
      <c r="R77" s="37" t="str">
        <f>IF(OR(Table5[[#This Row],[Delivery Status]]="Cancelled",Table5[[#This Row],[Cancel Date]]&lt;&gt;""),"Cancelled","Active")</f>
        <v>Active</v>
      </c>
      <c r="S77" s="28" t="str">
        <f>IF(Table5[[#This Row],[Delivery Status]]&lt;&gt;"Delivered",
"Not Delivered",
IF(Table5[[#This Row],[Delivery Date]]-Table5[[#This Row],[Order Date]]&lt;=2,"Fast","Slow")
)</f>
        <v>Slow</v>
      </c>
      <c r="T77" s="31">
        <f>IF(Table5[[#This Row],[Delivery Status]]="Delivered",
Table5[[#This Row],[Delivery Date]]-Table5[[#This Row],[Order Date]],
"")</f>
        <v>6</v>
      </c>
      <c r="U77">
        <f>_xlfn.XLOOKUP(Table5[[#This Row],[Region]],Table3[Region],Table3[Sales Target],"NA",0)</f>
        <v>105000</v>
      </c>
    </row>
    <row r="78" spans="1:21" x14ac:dyDescent="0.25">
      <c r="A78" s="28" t="s">
        <v>166</v>
      </c>
      <c r="B78" s="29">
        <v>45232</v>
      </c>
      <c r="C78" s="29">
        <v>45234</v>
      </c>
      <c r="D78" s="29"/>
      <c r="E78" s="28" t="s">
        <v>150</v>
      </c>
      <c r="F78" s="28" t="str">
        <f>_xlfn.XLOOKUP(Table5[[#This Row],[Customer ID]],Table4[Customer ID],Table4[Customer Name],"NA",0)</f>
        <v>Noah Wilson</v>
      </c>
      <c r="G78" s="28" t="str">
        <f>_xlfn.XLOOKUP(Table5[[#This Row],[Customer ID]],Table4[Customer ID],Table4[Customer Type],"NA",0)</f>
        <v>Prime</v>
      </c>
      <c r="H78" s="28" t="s">
        <v>111</v>
      </c>
      <c r="I78" s="28" t="str">
        <f>_xlfn.XLOOKUP(Table5[[#This Row],[Product ID]],Table2[Product ID],Table2[Product Name],"NA",0)</f>
        <v>Cookware Set Pro</v>
      </c>
      <c r="J78" s="30" t="str">
        <f>_xlfn.XLOOKUP(Table5[[#This Row],[Product ID]],Table2[Product ID],Table2[Category],"NA",0)</f>
        <v>Home</v>
      </c>
      <c r="K78" s="28" t="s">
        <v>50</v>
      </c>
      <c r="L78" s="28">
        <v>214</v>
      </c>
      <c r="M78" s="28">
        <v>5</v>
      </c>
      <c r="N78" s="31">
        <v>1070</v>
      </c>
      <c r="O78" s="28" t="s">
        <v>46</v>
      </c>
      <c r="P78" s="28" t="s">
        <v>25</v>
      </c>
      <c r="Q78" s="28" t="s">
        <v>34</v>
      </c>
      <c r="R78" s="37" t="str">
        <f>IF(OR(Table5[[#This Row],[Delivery Status]]="Cancelled",Table5[[#This Row],[Cancel Date]]&lt;&gt;""),"Cancelled","Active")</f>
        <v>Active</v>
      </c>
      <c r="S78" s="28" t="str">
        <f>IF(Table5[[#This Row],[Delivery Status]]&lt;&gt;"Delivered",
"Not Delivered",
IF(Table5[[#This Row],[Delivery Date]]-Table5[[#This Row],[Order Date]]&lt;=2,"Fast","Slow")
)</f>
        <v>Fast</v>
      </c>
      <c r="T78" s="31">
        <f>IF(Table5[[#This Row],[Delivery Status]]="Delivered",
Table5[[#This Row],[Delivery Date]]-Table5[[#This Row],[Order Date]],
"")</f>
        <v>2</v>
      </c>
      <c r="U78">
        <f>_xlfn.XLOOKUP(Table5[[#This Row],[Region]],Table3[Region],Table3[Sales Target],"NA",0)</f>
        <v>90750</v>
      </c>
    </row>
    <row r="79" spans="1:21" x14ac:dyDescent="0.25">
      <c r="A79" s="28" t="s">
        <v>167</v>
      </c>
      <c r="B79" s="29">
        <v>45263</v>
      </c>
      <c r="C79" s="29"/>
      <c r="D79" s="29">
        <v>45266</v>
      </c>
      <c r="E79" s="28" t="s">
        <v>152</v>
      </c>
      <c r="F79" s="28" t="str">
        <f>_xlfn.XLOOKUP(Table5[[#This Row],[Customer ID]],Table4[Customer ID],Table4[Customer Name],"NA",0)</f>
        <v>Noah Wilson</v>
      </c>
      <c r="G79" s="28" t="str">
        <f>_xlfn.XLOOKUP(Table5[[#This Row],[Customer ID]],Table4[Customer ID],Table4[Customer Type],"NA",0)</f>
        <v>Business</v>
      </c>
      <c r="H79" s="28" t="s">
        <v>90</v>
      </c>
      <c r="I79" s="28" t="str">
        <f>_xlfn.XLOOKUP(Table5[[#This Row],[Product ID]],Table2[Product ID],Table2[Product Name],"NA",0)</f>
        <v>Action Figure</v>
      </c>
      <c r="J79" s="30" t="str">
        <f>_xlfn.XLOOKUP(Table5[[#This Row],[Product ID]],Table2[Product ID],Table2[Category],"NA",0)</f>
        <v>Toys</v>
      </c>
      <c r="K79" s="28" t="s">
        <v>45</v>
      </c>
      <c r="L79" s="28">
        <v>42</v>
      </c>
      <c r="M79" s="28">
        <v>2</v>
      </c>
      <c r="N79" s="31">
        <v>84</v>
      </c>
      <c r="O79" s="28" t="s">
        <v>17</v>
      </c>
      <c r="P79" s="28" t="s">
        <v>18</v>
      </c>
      <c r="Q79" s="28" t="s">
        <v>34</v>
      </c>
      <c r="R79" s="37" t="str">
        <f>IF(OR(Table5[[#This Row],[Delivery Status]]="Cancelled",Table5[[#This Row],[Cancel Date]]&lt;&gt;""),"Cancelled","Active")</f>
        <v>Cancelled</v>
      </c>
      <c r="S79" s="28" t="str">
        <f>IF(Table5[[#This Row],[Delivery Status]]&lt;&gt;"Delivered",
"Not Delivered",
IF(Table5[[#This Row],[Delivery Date]]-Table5[[#This Row],[Order Date]]&lt;=2,"Fast","Slow")
)</f>
        <v>Not Delivered</v>
      </c>
      <c r="T79" s="31" t="str">
        <f>IF(Table5[[#This Row],[Delivery Status]]="Delivered",
Table5[[#This Row],[Delivery Date]]-Table5[[#This Row],[Order Date]],
"")</f>
        <v/>
      </c>
      <c r="U79">
        <f>_xlfn.XLOOKUP(Table5[[#This Row],[Region]],Table3[Region],Table3[Sales Target],"NA",0)</f>
        <v>97500</v>
      </c>
    </row>
    <row r="80" spans="1:21" x14ac:dyDescent="0.25">
      <c r="A80" s="28" t="s">
        <v>168</v>
      </c>
      <c r="B80" s="29">
        <v>45017</v>
      </c>
      <c r="C80" s="29"/>
      <c r="D80" s="29"/>
      <c r="E80" s="28" t="s">
        <v>152</v>
      </c>
      <c r="F80" s="28" t="str">
        <f>_xlfn.XLOOKUP(Table5[[#This Row],[Customer ID]],Table4[Customer ID],Table4[Customer Name],"NA",0)</f>
        <v>Noah Wilson</v>
      </c>
      <c r="G80" s="28" t="str">
        <f>_xlfn.XLOOKUP(Table5[[#This Row],[Customer ID]],Table4[Customer ID],Table4[Customer Type],"NA",0)</f>
        <v>Business</v>
      </c>
      <c r="H80" s="28" t="s">
        <v>15</v>
      </c>
      <c r="I80" s="28" t="str">
        <f>_xlfn.XLOOKUP(Table5[[#This Row],[Product ID]],Table2[Product ID],Table2[Product Name],"NA",0)</f>
        <v>Lamp</v>
      </c>
      <c r="J80" s="30" t="str">
        <f>_xlfn.XLOOKUP(Table5[[#This Row],[Product ID]],Table2[Product ID],Table2[Category],"NA",0)</f>
        <v>Home</v>
      </c>
      <c r="K80" s="28" t="s">
        <v>16</v>
      </c>
      <c r="L80" s="28">
        <v>46</v>
      </c>
      <c r="M80" s="28">
        <v>1</v>
      </c>
      <c r="N80" s="31">
        <v>46</v>
      </c>
      <c r="O80" s="28" t="s">
        <v>41</v>
      </c>
      <c r="P80" s="28" t="s">
        <v>29</v>
      </c>
      <c r="Q80" s="28" t="s">
        <v>34</v>
      </c>
      <c r="R80" s="37" t="str">
        <f>IF(OR(Table5[[#This Row],[Delivery Status]]="Cancelled",Table5[[#This Row],[Cancel Date]]&lt;&gt;""),"Cancelled","Active")</f>
        <v>Active</v>
      </c>
      <c r="S80" s="28" t="str">
        <f>IF(Table5[[#This Row],[Delivery Status]]&lt;&gt;"Delivered",
"Not Delivered",
IF(Table5[[#This Row],[Delivery Date]]-Table5[[#This Row],[Order Date]]&lt;=2,"Fast","Slow")
)</f>
        <v>Not Delivered</v>
      </c>
      <c r="T80" s="31" t="str">
        <f>IF(Table5[[#This Row],[Delivery Status]]="Delivered",
Table5[[#This Row],[Delivery Date]]-Table5[[#This Row],[Order Date]],
"")</f>
        <v/>
      </c>
      <c r="U80">
        <f>_xlfn.XLOOKUP(Table5[[#This Row],[Region]],Table3[Region],Table3[Sales Target],"NA",0)</f>
        <v>105000</v>
      </c>
    </row>
    <row r="81" spans="1:21" x14ac:dyDescent="0.25">
      <c r="A81" s="28" t="s">
        <v>169</v>
      </c>
      <c r="B81" s="29">
        <v>45215</v>
      </c>
      <c r="C81" s="29">
        <v>45218</v>
      </c>
      <c r="D81" s="29"/>
      <c r="E81" s="28" t="s">
        <v>108</v>
      </c>
      <c r="F81" s="28" t="str">
        <f>_xlfn.XLOOKUP(Table5[[#This Row],[Customer ID]],Table4[Customer ID],Table4[Customer Name],"NA",0)</f>
        <v>Luke Gray</v>
      </c>
      <c r="G81" s="28" t="str">
        <f>_xlfn.XLOOKUP(Table5[[#This Row],[Customer ID]],Table4[Customer ID],Table4[Customer Type],"NA",0)</f>
        <v>Business</v>
      </c>
      <c r="H81" s="28" t="s">
        <v>22</v>
      </c>
      <c r="I81" s="28" t="str">
        <f>_xlfn.XLOOKUP(Table5[[#This Row],[Product ID]],Table2[Product ID],Table2[Product Name],"NA",0)</f>
        <v>Doll House</v>
      </c>
      <c r="J81" s="30" t="str">
        <f>_xlfn.XLOOKUP(Table5[[#This Row],[Product ID]],Table2[Product ID],Table2[Category],"NA",0)</f>
        <v>Toys</v>
      </c>
      <c r="K81" s="28" t="s">
        <v>23</v>
      </c>
      <c r="L81" s="28">
        <v>95</v>
      </c>
      <c r="M81" s="28">
        <v>4</v>
      </c>
      <c r="N81" s="31">
        <v>380</v>
      </c>
      <c r="O81" s="28" t="s">
        <v>24</v>
      </c>
      <c r="P81" s="28" t="s">
        <v>25</v>
      </c>
      <c r="Q81" s="28" t="s">
        <v>34</v>
      </c>
      <c r="R81" s="37" t="str">
        <f>IF(OR(Table5[[#This Row],[Delivery Status]]="Cancelled",Table5[[#This Row],[Cancel Date]]&lt;&gt;""),"Cancelled","Active")</f>
        <v>Active</v>
      </c>
      <c r="S81" s="28" t="str">
        <f>IF(Table5[[#This Row],[Delivery Status]]&lt;&gt;"Delivered",
"Not Delivered",
IF(Table5[[#This Row],[Delivery Date]]-Table5[[#This Row],[Order Date]]&lt;=2,"Fast","Slow")
)</f>
        <v>Slow</v>
      </c>
      <c r="T81" s="31">
        <f>IF(Table5[[#This Row],[Delivery Status]]="Delivered",
Table5[[#This Row],[Delivery Date]]-Table5[[#This Row],[Order Date]],
"")</f>
        <v>3</v>
      </c>
      <c r="U81">
        <f>_xlfn.XLOOKUP(Table5[[#This Row],[Region]],Table3[Region],Table3[Sales Target],"NA",0)</f>
        <v>50500</v>
      </c>
    </row>
    <row r="82" spans="1:21" x14ac:dyDescent="0.25">
      <c r="A82" s="28" t="s">
        <v>170</v>
      </c>
      <c r="B82" s="29">
        <v>45235</v>
      </c>
      <c r="C82" s="29"/>
      <c r="D82" s="29"/>
      <c r="E82" s="28" t="s">
        <v>121</v>
      </c>
      <c r="F82" s="28" t="str">
        <f>_xlfn.XLOOKUP(Table5[[#This Row],[Customer ID]],Table4[Customer ID],Table4[Customer Name],"NA",0)</f>
        <v>James Miller</v>
      </c>
      <c r="G82" s="28" t="str">
        <f>_xlfn.XLOOKUP(Table5[[#This Row],[Customer ID]],Table4[Customer ID],Table4[Customer Type],"NA",0)</f>
        <v>Business</v>
      </c>
      <c r="H82" s="28" t="s">
        <v>109</v>
      </c>
      <c r="I82" s="28" t="str">
        <f>_xlfn.XLOOKUP(Table5[[#This Row],[Product ID]],Table2[Product ID],Table2[Product Name],"NA",0)</f>
        <v>Headphones</v>
      </c>
      <c r="J82" s="30" t="str">
        <f>_xlfn.XLOOKUP(Table5[[#This Row],[Product ID]],Table2[Product ID],Table2[Category],"NA",0)</f>
        <v>Electronics</v>
      </c>
      <c r="K82" s="28" t="s">
        <v>50</v>
      </c>
      <c r="L82" s="28">
        <v>174</v>
      </c>
      <c r="M82" s="28">
        <v>2</v>
      </c>
      <c r="N82" s="31">
        <v>348</v>
      </c>
      <c r="O82" s="28" t="s">
        <v>33</v>
      </c>
      <c r="P82" s="28" t="s">
        <v>29</v>
      </c>
      <c r="Q82" s="28" t="s">
        <v>34</v>
      </c>
      <c r="R82" s="37" t="str">
        <f>IF(OR(Table5[[#This Row],[Delivery Status]]="Cancelled",Table5[[#This Row],[Cancel Date]]&lt;&gt;""),"Cancelled","Active")</f>
        <v>Active</v>
      </c>
      <c r="S82" s="28" t="str">
        <f>IF(Table5[[#This Row],[Delivery Status]]&lt;&gt;"Delivered",
"Not Delivered",
IF(Table5[[#This Row],[Delivery Date]]-Table5[[#This Row],[Order Date]]&lt;=2,"Fast","Slow")
)</f>
        <v>Not Delivered</v>
      </c>
      <c r="T82" s="31" t="str">
        <f>IF(Table5[[#This Row],[Delivery Status]]="Delivered",
Table5[[#This Row],[Delivery Date]]-Table5[[#This Row],[Order Date]],
"")</f>
        <v/>
      </c>
      <c r="U82">
        <f>_xlfn.XLOOKUP(Table5[[#This Row],[Region]],Table3[Region],Table3[Sales Target],"NA",0)</f>
        <v>90750</v>
      </c>
    </row>
    <row r="83" spans="1:21" x14ac:dyDescent="0.25">
      <c r="A83" s="28" t="s">
        <v>171</v>
      </c>
      <c r="B83" s="29">
        <v>45092</v>
      </c>
      <c r="C83" s="29"/>
      <c r="D83" s="29">
        <v>45095</v>
      </c>
      <c r="E83" s="28" t="s">
        <v>57</v>
      </c>
      <c r="F83" s="28" t="str">
        <f>_xlfn.XLOOKUP(Table5[[#This Row],[Customer ID]],Table4[Customer ID],Table4[Customer Name],"NA",0)</f>
        <v>Emily Johnson</v>
      </c>
      <c r="G83" s="28" t="str">
        <f>_xlfn.XLOOKUP(Table5[[#This Row],[Customer ID]],Table4[Customer ID],Table4[Customer Type],"NA",0)</f>
        <v>Prime</v>
      </c>
      <c r="H83" s="28" t="s">
        <v>69</v>
      </c>
      <c r="I83" s="28" t="str">
        <f>_xlfn.XLOOKUP(Table5[[#This Row],[Product ID]],Table2[Product ID],Table2[Product Name],"NA",0)</f>
        <v>T-Shirt</v>
      </c>
      <c r="J83" s="30" t="str">
        <f>_xlfn.XLOOKUP(Table5[[#This Row],[Product ID]],Table2[Product ID],Table2[Category],"NA",0)</f>
        <v>Fashion</v>
      </c>
      <c r="K83" s="28" t="s">
        <v>16</v>
      </c>
      <c r="L83" s="28">
        <v>27</v>
      </c>
      <c r="M83" s="28">
        <v>5</v>
      </c>
      <c r="N83" s="31">
        <v>135</v>
      </c>
      <c r="O83" s="28" t="s">
        <v>24</v>
      </c>
      <c r="P83" s="28" t="s">
        <v>18</v>
      </c>
      <c r="Q83" s="28" t="s">
        <v>38</v>
      </c>
      <c r="R83" s="37" t="str">
        <f>IF(OR(Table5[[#This Row],[Delivery Status]]="Cancelled",Table5[[#This Row],[Cancel Date]]&lt;&gt;""),"Cancelled","Active")</f>
        <v>Cancelled</v>
      </c>
      <c r="S83" s="28" t="str">
        <f>IF(Table5[[#This Row],[Delivery Status]]&lt;&gt;"Delivered",
"Not Delivered",
IF(Table5[[#This Row],[Delivery Date]]-Table5[[#This Row],[Order Date]]&lt;=2,"Fast","Slow")
)</f>
        <v>Not Delivered</v>
      </c>
      <c r="T83" s="31" t="str">
        <f>IF(Table5[[#This Row],[Delivery Status]]="Delivered",
Table5[[#This Row],[Delivery Date]]-Table5[[#This Row],[Order Date]],
"")</f>
        <v/>
      </c>
      <c r="U83">
        <f>_xlfn.XLOOKUP(Table5[[#This Row],[Region]],Table3[Region],Table3[Sales Target],"NA",0)</f>
        <v>105000</v>
      </c>
    </row>
    <row r="84" spans="1:21" x14ac:dyDescent="0.25">
      <c r="A84" s="28" t="s">
        <v>172</v>
      </c>
      <c r="B84" s="29">
        <v>45227</v>
      </c>
      <c r="C84" s="29">
        <v>45229</v>
      </c>
      <c r="D84" s="29"/>
      <c r="E84" s="28" t="s">
        <v>14</v>
      </c>
      <c r="F84" s="28" t="str">
        <f>_xlfn.XLOOKUP(Table5[[#This Row],[Customer ID]],Table4[Customer ID],Table4[Customer Name],"NA",0)</f>
        <v>Zoe Mitchell</v>
      </c>
      <c r="G84" s="28" t="str">
        <f>_xlfn.XLOOKUP(Table5[[#This Row],[Customer ID]],Table4[Customer ID],Table4[Customer Type],"NA",0)</f>
        <v>Individual</v>
      </c>
      <c r="H84" s="28" t="s">
        <v>69</v>
      </c>
      <c r="I84" s="28" t="str">
        <f>_xlfn.XLOOKUP(Table5[[#This Row],[Product ID]],Table2[Product ID],Table2[Product Name],"NA",0)</f>
        <v>T-Shirt</v>
      </c>
      <c r="J84" s="30" t="str">
        <f>_xlfn.XLOOKUP(Table5[[#This Row],[Product ID]],Table2[Product ID],Table2[Category],"NA",0)</f>
        <v>Fashion</v>
      </c>
      <c r="K84" s="28" t="s">
        <v>28</v>
      </c>
      <c r="L84" s="28">
        <v>27</v>
      </c>
      <c r="M84" s="28">
        <v>4</v>
      </c>
      <c r="N84" s="31">
        <v>108</v>
      </c>
      <c r="O84" s="28" t="s">
        <v>33</v>
      </c>
      <c r="P84" s="28" t="s">
        <v>25</v>
      </c>
      <c r="Q84" s="28" t="s">
        <v>30</v>
      </c>
      <c r="R84" s="37" t="str">
        <f>IF(OR(Table5[[#This Row],[Delivery Status]]="Cancelled",Table5[[#This Row],[Cancel Date]]&lt;&gt;""),"Cancelled","Active")</f>
        <v>Active</v>
      </c>
      <c r="S84" s="28" t="str">
        <f>IF(Table5[[#This Row],[Delivery Status]]&lt;&gt;"Delivered",
"Not Delivered",
IF(Table5[[#This Row],[Delivery Date]]-Table5[[#This Row],[Order Date]]&lt;=2,"Fast","Slow")
)</f>
        <v>Fast</v>
      </c>
      <c r="T84" s="31">
        <f>IF(Table5[[#This Row],[Delivery Status]]="Delivered",
Table5[[#This Row],[Delivery Date]]-Table5[[#This Row],[Order Date]],
"")</f>
        <v>2</v>
      </c>
      <c r="U84">
        <f>_xlfn.XLOOKUP(Table5[[#This Row],[Region]],Table3[Region],Table3[Sales Target],"NA",0)</f>
        <v>91500</v>
      </c>
    </row>
    <row r="85" spans="1:21" x14ac:dyDescent="0.25">
      <c r="A85" s="28" t="s">
        <v>173</v>
      </c>
      <c r="B85" s="29">
        <v>45282</v>
      </c>
      <c r="C85" s="29"/>
      <c r="D85" s="29"/>
      <c r="E85" s="28" t="s">
        <v>174</v>
      </c>
      <c r="F85" s="28" t="str">
        <f>_xlfn.XLOOKUP(Table5[[#This Row],[Customer ID]],Table4[Customer ID],Table4[Customer Name],"NA",0)</f>
        <v>Ava White</v>
      </c>
      <c r="G85" s="28" t="str">
        <f>_xlfn.XLOOKUP(Table5[[#This Row],[Customer ID]],Table4[Customer ID],Table4[Customer Type],"NA",0)</f>
        <v>Individual</v>
      </c>
      <c r="H85" s="28" t="s">
        <v>92</v>
      </c>
      <c r="I85" s="28" t="str">
        <f>_xlfn.XLOOKUP(Table5[[#This Row],[Product ID]],Table2[Product ID],Table2[Product Name],"NA",0)</f>
        <v>Backpack</v>
      </c>
      <c r="J85" s="30" t="str">
        <f>_xlfn.XLOOKUP(Table5[[#This Row],[Product ID]],Table2[Product ID],Table2[Category],"NA",0)</f>
        <v>Fashion</v>
      </c>
      <c r="K85" s="28" t="s">
        <v>28</v>
      </c>
      <c r="L85" s="28">
        <v>65</v>
      </c>
      <c r="M85" s="28">
        <v>2</v>
      </c>
      <c r="N85" s="31">
        <v>130</v>
      </c>
      <c r="O85" s="28" t="s">
        <v>33</v>
      </c>
      <c r="P85" s="28" t="s">
        <v>29</v>
      </c>
      <c r="Q85" s="28" t="s">
        <v>19</v>
      </c>
      <c r="R85" s="37" t="str">
        <f>IF(OR(Table5[[#This Row],[Delivery Status]]="Cancelled",Table5[[#This Row],[Cancel Date]]&lt;&gt;""),"Cancelled","Active")</f>
        <v>Active</v>
      </c>
      <c r="S85" s="28" t="str">
        <f>IF(Table5[[#This Row],[Delivery Status]]&lt;&gt;"Delivered",
"Not Delivered",
IF(Table5[[#This Row],[Delivery Date]]-Table5[[#This Row],[Order Date]]&lt;=2,"Fast","Slow")
)</f>
        <v>Not Delivered</v>
      </c>
      <c r="T85" s="31" t="str">
        <f>IF(Table5[[#This Row],[Delivery Status]]="Delivered",
Table5[[#This Row],[Delivery Date]]-Table5[[#This Row],[Order Date]],
"")</f>
        <v/>
      </c>
      <c r="U85">
        <f>_xlfn.XLOOKUP(Table5[[#This Row],[Region]],Table3[Region],Table3[Sales Target],"NA",0)</f>
        <v>91500</v>
      </c>
    </row>
    <row r="86" spans="1:21" x14ac:dyDescent="0.25">
      <c r="A86" s="28" t="s">
        <v>175</v>
      </c>
      <c r="B86" s="29">
        <v>44992</v>
      </c>
      <c r="C86" s="29"/>
      <c r="D86" s="29"/>
      <c r="E86" s="28" t="s">
        <v>60</v>
      </c>
      <c r="F86" s="28" t="str">
        <f>_xlfn.XLOOKUP(Table5[[#This Row],[Customer ID]],Table4[Customer ID],Table4[Customer Name],"NA",0)</f>
        <v>Emily Johnson</v>
      </c>
      <c r="G86" s="28" t="str">
        <f>_xlfn.XLOOKUP(Table5[[#This Row],[Customer ID]],Table4[Customer ID],Table4[Customer Type],"NA",0)</f>
        <v>Individual</v>
      </c>
      <c r="H86" s="28" t="s">
        <v>53</v>
      </c>
      <c r="I86" s="28" t="str">
        <f>_xlfn.XLOOKUP(Table5[[#This Row],[Product ID]],Table2[Product ID],Table2[Product Name],"NA",0)</f>
        <v>Formal Shirt</v>
      </c>
      <c r="J86" s="30" t="str">
        <f>_xlfn.XLOOKUP(Table5[[#This Row],[Product ID]],Table2[Product ID],Table2[Category],"NA",0)</f>
        <v>Fashion</v>
      </c>
      <c r="K86" s="28" t="s">
        <v>23</v>
      </c>
      <c r="L86" s="28">
        <v>43</v>
      </c>
      <c r="M86" s="28">
        <v>5</v>
      </c>
      <c r="N86" s="31">
        <v>215</v>
      </c>
      <c r="O86" s="28" t="s">
        <v>46</v>
      </c>
      <c r="P86" s="28" t="s">
        <v>29</v>
      </c>
      <c r="Q86" s="28" t="s">
        <v>19</v>
      </c>
      <c r="R86" s="37" t="str">
        <f>IF(OR(Table5[[#This Row],[Delivery Status]]="Cancelled",Table5[[#This Row],[Cancel Date]]&lt;&gt;""),"Cancelled","Active")</f>
        <v>Active</v>
      </c>
      <c r="S86" s="28" t="str">
        <f>IF(Table5[[#This Row],[Delivery Status]]&lt;&gt;"Delivered",
"Not Delivered",
IF(Table5[[#This Row],[Delivery Date]]-Table5[[#This Row],[Order Date]]&lt;=2,"Fast","Slow")
)</f>
        <v>Not Delivered</v>
      </c>
      <c r="T86" s="31" t="str">
        <f>IF(Table5[[#This Row],[Delivery Status]]="Delivered",
Table5[[#This Row],[Delivery Date]]-Table5[[#This Row],[Order Date]],
"")</f>
        <v/>
      </c>
      <c r="U86">
        <f>_xlfn.XLOOKUP(Table5[[#This Row],[Region]],Table3[Region],Table3[Sales Target],"NA",0)</f>
        <v>50500</v>
      </c>
    </row>
    <row r="87" spans="1:21" x14ac:dyDescent="0.25">
      <c r="A87" s="28" t="s">
        <v>176</v>
      </c>
      <c r="B87" s="29">
        <v>45240</v>
      </c>
      <c r="C87" s="29"/>
      <c r="D87" s="29"/>
      <c r="E87" s="28" t="s">
        <v>97</v>
      </c>
      <c r="F87" s="28" t="str">
        <f>_xlfn.XLOOKUP(Table5[[#This Row],[Customer ID]],Table4[Customer ID],Table4[Customer Name],"NA",0)</f>
        <v>Liam Walker</v>
      </c>
      <c r="G87" s="28" t="str">
        <f>_xlfn.XLOOKUP(Table5[[#This Row],[Customer ID]],Table4[Customer ID],Table4[Customer Type],"NA",0)</f>
        <v>Prime</v>
      </c>
      <c r="H87" s="28" t="s">
        <v>111</v>
      </c>
      <c r="I87" s="28" t="str">
        <f>_xlfn.XLOOKUP(Table5[[#This Row],[Product ID]],Table2[Product ID],Table2[Product Name],"NA",0)</f>
        <v>Cookware Set Pro</v>
      </c>
      <c r="J87" s="30" t="str">
        <f>_xlfn.XLOOKUP(Table5[[#This Row],[Product ID]],Table2[Product ID],Table2[Category],"NA",0)</f>
        <v>Home</v>
      </c>
      <c r="K87" s="28" t="s">
        <v>50</v>
      </c>
      <c r="L87" s="28">
        <v>210</v>
      </c>
      <c r="M87" s="28">
        <v>1</v>
      </c>
      <c r="N87" s="31">
        <v>210</v>
      </c>
      <c r="O87" s="28" t="s">
        <v>33</v>
      </c>
      <c r="P87" s="28" t="s">
        <v>29</v>
      </c>
      <c r="Q87" s="28" t="s">
        <v>34</v>
      </c>
      <c r="R87" s="37" t="str">
        <f>IF(OR(Table5[[#This Row],[Delivery Status]]="Cancelled",Table5[[#This Row],[Cancel Date]]&lt;&gt;""),"Cancelled","Active")</f>
        <v>Active</v>
      </c>
      <c r="S87" s="28" t="str">
        <f>IF(Table5[[#This Row],[Delivery Status]]&lt;&gt;"Delivered",
"Not Delivered",
IF(Table5[[#This Row],[Delivery Date]]-Table5[[#This Row],[Order Date]]&lt;=2,"Fast","Slow")
)</f>
        <v>Not Delivered</v>
      </c>
      <c r="T87" s="31" t="str">
        <f>IF(Table5[[#This Row],[Delivery Status]]="Delivered",
Table5[[#This Row],[Delivery Date]]-Table5[[#This Row],[Order Date]],
"")</f>
        <v/>
      </c>
      <c r="U87">
        <f>_xlfn.XLOOKUP(Table5[[#This Row],[Region]],Table3[Region],Table3[Sales Target],"NA",0)</f>
        <v>90750</v>
      </c>
    </row>
    <row r="88" spans="1:21" x14ac:dyDescent="0.25">
      <c r="A88" s="28" t="s">
        <v>177</v>
      </c>
      <c r="B88" s="29">
        <v>45252</v>
      </c>
      <c r="C88" s="29"/>
      <c r="D88" s="29"/>
      <c r="E88" s="28" t="s">
        <v>178</v>
      </c>
      <c r="F88" s="28" t="str">
        <f>_xlfn.XLOOKUP(Table5[[#This Row],[Customer ID]],Table4[Customer ID],Table4[Customer Name],"NA",0)</f>
        <v>Lily Reed</v>
      </c>
      <c r="G88" s="28" t="str">
        <f>_xlfn.XLOOKUP(Table5[[#This Row],[Customer ID]],Table4[Customer ID],Table4[Customer Type],"NA",0)</f>
        <v>Individual</v>
      </c>
      <c r="H88" s="28" t="s">
        <v>49</v>
      </c>
      <c r="I88" s="28" t="str">
        <f>_xlfn.XLOOKUP(Table5[[#This Row],[Product ID]],Table2[Product ID],Table2[Product Name],"NA",0)</f>
        <v>Wall Clock</v>
      </c>
      <c r="J88" s="30" t="str">
        <f>_xlfn.XLOOKUP(Table5[[#This Row],[Product ID]],Table2[Product ID],Table2[Category],"NA",0)</f>
        <v>Home</v>
      </c>
      <c r="K88" s="28" t="s">
        <v>28</v>
      </c>
      <c r="L88" s="28">
        <v>37</v>
      </c>
      <c r="M88" s="28">
        <v>3</v>
      </c>
      <c r="N88" s="31">
        <v>111</v>
      </c>
      <c r="O88" s="28" t="s">
        <v>24</v>
      </c>
      <c r="P88" s="28" t="s">
        <v>29</v>
      </c>
      <c r="Q88" s="28" t="s">
        <v>34</v>
      </c>
      <c r="R88" s="37" t="str">
        <f>IF(OR(Table5[[#This Row],[Delivery Status]]="Cancelled",Table5[[#This Row],[Cancel Date]]&lt;&gt;""),"Cancelled","Active")</f>
        <v>Active</v>
      </c>
      <c r="S88" s="28" t="str">
        <f>IF(Table5[[#This Row],[Delivery Status]]&lt;&gt;"Delivered",
"Not Delivered",
IF(Table5[[#This Row],[Delivery Date]]-Table5[[#This Row],[Order Date]]&lt;=2,"Fast","Slow")
)</f>
        <v>Not Delivered</v>
      </c>
      <c r="T88" s="31" t="str">
        <f>IF(Table5[[#This Row],[Delivery Status]]="Delivered",
Table5[[#This Row],[Delivery Date]]-Table5[[#This Row],[Order Date]],
"")</f>
        <v/>
      </c>
      <c r="U88">
        <f>_xlfn.XLOOKUP(Table5[[#This Row],[Region]],Table3[Region],Table3[Sales Target],"NA",0)</f>
        <v>91500</v>
      </c>
    </row>
    <row r="89" spans="1:21" x14ac:dyDescent="0.25">
      <c r="A89" s="28" t="s">
        <v>179</v>
      </c>
      <c r="B89" s="29">
        <v>45054</v>
      </c>
      <c r="C89" s="29"/>
      <c r="D89" s="29"/>
      <c r="E89" s="28" t="s">
        <v>97</v>
      </c>
      <c r="F89" s="28" t="str">
        <f>_xlfn.XLOOKUP(Table5[[#This Row],[Customer ID]],Table4[Customer ID],Table4[Customer Name],"NA",0)</f>
        <v>Liam Walker</v>
      </c>
      <c r="G89" s="28" t="str">
        <f>_xlfn.XLOOKUP(Table5[[#This Row],[Customer ID]],Table4[Customer ID],Table4[Customer Type],"NA",0)</f>
        <v>Prime</v>
      </c>
      <c r="H89" s="28" t="s">
        <v>81</v>
      </c>
      <c r="I89" s="28" t="str">
        <f>_xlfn.XLOOKUP(Table5[[#This Row],[Product ID]],Table2[Product ID],Table2[Product Name],"NA",0)</f>
        <v>Smartphone</v>
      </c>
      <c r="J89" s="30" t="str">
        <f>_xlfn.XLOOKUP(Table5[[#This Row],[Product ID]],Table2[Product ID],Table2[Category],"NA",0)</f>
        <v>Electronics</v>
      </c>
      <c r="K89" s="28" t="s">
        <v>28</v>
      </c>
      <c r="L89" s="28">
        <v>788</v>
      </c>
      <c r="M89" s="28">
        <v>4</v>
      </c>
      <c r="N89" s="31">
        <v>3152</v>
      </c>
      <c r="O89" s="28" t="s">
        <v>46</v>
      </c>
      <c r="P89" s="28" t="s">
        <v>29</v>
      </c>
      <c r="Q89" s="28" t="s">
        <v>38</v>
      </c>
      <c r="R89" s="37" t="str">
        <f>IF(OR(Table5[[#This Row],[Delivery Status]]="Cancelled",Table5[[#This Row],[Cancel Date]]&lt;&gt;""),"Cancelled","Active")</f>
        <v>Active</v>
      </c>
      <c r="S89" s="28" t="str">
        <f>IF(Table5[[#This Row],[Delivery Status]]&lt;&gt;"Delivered",
"Not Delivered",
IF(Table5[[#This Row],[Delivery Date]]-Table5[[#This Row],[Order Date]]&lt;=2,"Fast","Slow")
)</f>
        <v>Not Delivered</v>
      </c>
      <c r="T89" s="31" t="str">
        <f>IF(Table5[[#This Row],[Delivery Status]]="Delivered",
Table5[[#This Row],[Delivery Date]]-Table5[[#This Row],[Order Date]],
"")</f>
        <v/>
      </c>
      <c r="U89">
        <f>_xlfn.XLOOKUP(Table5[[#This Row],[Region]],Table3[Region],Table3[Sales Target],"NA",0)</f>
        <v>91500</v>
      </c>
    </row>
    <row r="90" spans="1:21" x14ac:dyDescent="0.25">
      <c r="A90" s="28" t="s">
        <v>180</v>
      </c>
      <c r="B90" s="29">
        <v>45120</v>
      </c>
      <c r="C90" s="29"/>
      <c r="D90" s="29"/>
      <c r="E90" s="28" t="s">
        <v>97</v>
      </c>
      <c r="F90" s="28" t="str">
        <f>_xlfn.XLOOKUP(Table5[[#This Row],[Customer ID]],Table4[Customer ID],Table4[Customer Name],"NA",0)</f>
        <v>Liam Walker</v>
      </c>
      <c r="G90" s="28" t="str">
        <f>_xlfn.XLOOKUP(Table5[[#This Row],[Customer ID]],Table4[Customer ID],Table4[Customer Type],"NA",0)</f>
        <v>Prime</v>
      </c>
      <c r="H90" s="28" t="s">
        <v>111</v>
      </c>
      <c r="I90" s="28" t="str">
        <f>_xlfn.XLOOKUP(Table5[[#This Row],[Product ID]],Table2[Product ID],Table2[Product Name],"NA",0)</f>
        <v>Cookware Set Pro</v>
      </c>
      <c r="J90" s="30" t="str">
        <f>_xlfn.XLOOKUP(Table5[[#This Row],[Product ID]],Table2[Product ID],Table2[Category],"NA",0)</f>
        <v>Home</v>
      </c>
      <c r="K90" s="28" t="s">
        <v>50</v>
      </c>
      <c r="L90" s="28">
        <v>217</v>
      </c>
      <c r="M90" s="28">
        <v>5</v>
      </c>
      <c r="N90" s="31">
        <v>1085</v>
      </c>
      <c r="O90" s="28" t="s">
        <v>46</v>
      </c>
      <c r="P90" s="28" t="s">
        <v>29</v>
      </c>
      <c r="Q90" s="28" t="s">
        <v>61</v>
      </c>
      <c r="R90" s="37" t="str">
        <f>IF(OR(Table5[[#This Row],[Delivery Status]]="Cancelled",Table5[[#This Row],[Cancel Date]]&lt;&gt;""),"Cancelled","Active")</f>
        <v>Active</v>
      </c>
      <c r="S90" s="28" t="str">
        <f>IF(Table5[[#This Row],[Delivery Status]]&lt;&gt;"Delivered",
"Not Delivered",
IF(Table5[[#This Row],[Delivery Date]]-Table5[[#This Row],[Order Date]]&lt;=2,"Fast","Slow")
)</f>
        <v>Not Delivered</v>
      </c>
      <c r="T90" s="31" t="str">
        <f>IF(Table5[[#This Row],[Delivery Status]]="Delivered",
Table5[[#This Row],[Delivery Date]]-Table5[[#This Row],[Order Date]],
"")</f>
        <v/>
      </c>
      <c r="U90">
        <f>_xlfn.XLOOKUP(Table5[[#This Row],[Region]],Table3[Region],Table3[Sales Target],"NA",0)</f>
        <v>90750</v>
      </c>
    </row>
    <row r="91" spans="1:21" x14ac:dyDescent="0.25">
      <c r="A91" s="28" t="s">
        <v>181</v>
      </c>
      <c r="B91" s="29">
        <v>44944</v>
      </c>
      <c r="C91" s="29"/>
      <c r="D91" s="29"/>
      <c r="E91" s="28" t="s">
        <v>97</v>
      </c>
      <c r="F91" s="28" t="str">
        <f>_xlfn.XLOOKUP(Table5[[#This Row],[Customer ID]],Table4[Customer ID],Table4[Customer Name],"NA",0)</f>
        <v>Liam Walker</v>
      </c>
      <c r="G91" s="28" t="str">
        <f>_xlfn.XLOOKUP(Table5[[#This Row],[Customer ID]],Table4[Customer ID],Table4[Customer Type],"NA",0)</f>
        <v>Prime</v>
      </c>
      <c r="H91" s="28" t="s">
        <v>55</v>
      </c>
      <c r="I91" s="28" t="str">
        <f>_xlfn.XLOOKUP(Table5[[#This Row],[Product ID]],Table2[Product ID],Table2[Product Name],"NA",0)</f>
        <v>Cookware Set</v>
      </c>
      <c r="J91" s="30" t="str">
        <f>_xlfn.XLOOKUP(Table5[[#This Row],[Product ID]],Table2[Product ID],Table2[Category],"NA",0)</f>
        <v>Home</v>
      </c>
      <c r="K91" s="28" t="s">
        <v>50</v>
      </c>
      <c r="L91" s="28">
        <v>138</v>
      </c>
      <c r="M91" s="28">
        <v>4</v>
      </c>
      <c r="N91" s="31">
        <v>552</v>
      </c>
      <c r="O91" s="28" t="s">
        <v>24</v>
      </c>
      <c r="P91" s="28" t="s">
        <v>29</v>
      </c>
      <c r="Q91" s="28" t="s">
        <v>61</v>
      </c>
      <c r="R91" s="37" t="str">
        <f>IF(OR(Table5[[#This Row],[Delivery Status]]="Cancelled",Table5[[#This Row],[Cancel Date]]&lt;&gt;""),"Cancelled","Active")</f>
        <v>Active</v>
      </c>
      <c r="S91" s="28" t="str">
        <f>IF(Table5[[#This Row],[Delivery Status]]&lt;&gt;"Delivered",
"Not Delivered",
IF(Table5[[#This Row],[Delivery Date]]-Table5[[#This Row],[Order Date]]&lt;=2,"Fast","Slow")
)</f>
        <v>Not Delivered</v>
      </c>
      <c r="T91" s="31" t="str">
        <f>IF(Table5[[#This Row],[Delivery Status]]="Delivered",
Table5[[#This Row],[Delivery Date]]-Table5[[#This Row],[Order Date]],
"")</f>
        <v/>
      </c>
      <c r="U91">
        <f>_xlfn.XLOOKUP(Table5[[#This Row],[Region]],Table3[Region],Table3[Sales Target],"NA",0)</f>
        <v>90750</v>
      </c>
    </row>
    <row r="92" spans="1:21" x14ac:dyDescent="0.25">
      <c r="A92" s="28" t="s">
        <v>182</v>
      </c>
      <c r="B92" s="29">
        <v>45100</v>
      </c>
      <c r="C92" s="29">
        <v>45106</v>
      </c>
      <c r="D92" s="29"/>
      <c r="E92" s="28" t="s">
        <v>183</v>
      </c>
      <c r="F92" s="28" t="str">
        <f>_xlfn.XLOOKUP(Table5[[#This Row],[Customer ID]],Table4[Customer ID],Table4[Customer Name],"NA",0)</f>
        <v>Mason Collins</v>
      </c>
      <c r="G92" s="28" t="str">
        <f>_xlfn.XLOOKUP(Table5[[#This Row],[Customer ID]],Table4[Customer ID],Table4[Customer Type],"NA",0)</f>
        <v>Business</v>
      </c>
      <c r="H92" s="28" t="s">
        <v>81</v>
      </c>
      <c r="I92" s="28" t="str">
        <f>_xlfn.XLOOKUP(Table5[[#This Row],[Product ID]],Table2[Product ID],Table2[Product Name],"NA",0)</f>
        <v>Smartphone</v>
      </c>
      <c r="J92" s="30" t="str">
        <f>_xlfn.XLOOKUP(Table5[[#This Row],[Product ID]],Table2[Product ID],Table2[Category],"NA",0)</f>
        <v>Electronics</v>
      </c>
      <c r="K92" s="28" t="s">
        <v>45</v>
      </c>
      <c r="L92" s="28">
        <v>803</v>
      </c>
      <c r="M92" s="28">
        <v>2</v>
      </c>
      <c r="N92" s="31">
        <v>1606</v>
      </c>
      <c r="O92" s="28" t="s">
        <v>17</v>
      </c>
      <c r="P92" s="28" t="s">
        <v>25</v>
      </c>
      <c r="Q92" s="28" t="s">
        <v>61</v>
      </c>
      <c r="R92" s="37" t="str">
        <f>IF(OR(Table5[[#This Row],[Delivery Status]]="Cancelled",Table5[[#This Row],[Cancel Date]]&lt;&gt;""),"Cancelled","Active")</f>
        <v>Active</v>
      </c>
      <c r="S92" s="28" t="str">
        <f>IF(Table5[[#This Row],[Delivery Status]]&lt;&gt;"Delivered",
"Not Delivered",
IF(Table5[[#This Row],[Delivery Date]]-Table5[[#This Row],[Order Date]]&lt;=2,"Fast","Slow")
)</f>
        <v>Slow</v>
      </c>
      <c r="T92" s="31">
        <f>IF(Table5[[#This Row],[Delivery Status]]="Delivered",
Table5[[#This Row],[Delivery Date]]-Table5[[#This Row],[Order Date]],
"")</f>
        <v>6</v>
      </c>
      <c r="U92">
        <f>_xlfn.XLOOKUP(Table5[[#This Row],[Region]],Table3[Region],Table3[Sales Target],"NA",0)</f>
        <v>97500</v>
      </c>
    </row>
    <row r="93" spans="1:21" x14ac:dyDescent="0.25">
      <c r="A93" s="28" t="s">
        <v>184</v>
      </c>
      <c r="B93" s="29">
        <v>44978</v>
      </c>
      <c r="C93" s="29"/>
      <c r="D93" s="29">
        <v>44982</v>
      </c>
      <c r="E93" s="28" t="s">
        <v>52</v>
      </c>
      <c r="F93" s="28" t="str">
        <f>_xlfn.XLOOKUP(Table5[[#This Row],[Customer ID]],Table4[Customer ID],Table4[Customer Name],"NA",0)</f>
        <v>Olivia Martinez</v>
      </c>
      <c r="G93" s="28" t="str">
        <f>_xlfn.XLOOKUP(Table5[[#This Row],[Customer ID]],Table4[Customer ID],Table4[Customer Type],"NA",0)</f>
        <v>Prime</v>
      </c>
      <c r="H93" s="28" t="s">
        <v>58</v>
      </c>
      <c r="I93" s="28" t="str">
        <f>_xlfn.XLOOKUP(Table5[[#This Row],[Product ID]],Table2[Product ID],Table2[Product Name],"NA",0)</f>
        <v>Smartwatch</v>
      </c>
      <c r="J93" s="30" t="str">
        <f>_xlfn.XLOOKUP(Table5[[#This Row],[Product ID]],Table2[Product ID],Table2[Category],"NA",0)</f>
        <v>Electronics</v>
      </c>
      <c r="K93" s="28" t="s">
        <v>16</v>
      </c>
      <c r="L93" s="28">
        <v>248</v>
      </c>
      <c r="M93" s="28">
        <v>5</v>
      </c>
      <c r="N93" s="31">
        <v>1240</v>
      </c>
      <c r="O93" s="28" t="s">
        <v>33</v>
      </c>
      <c r="P93" s="28" t="s">
        <v>18</v>
      </c>
      <c r="Q93" s="28" t="s">
        <v>34</v>
      </c>
      <c r="R93" s="37" t="str">
        <f>IF(OR(Table5[[#This Row],[Delivery Status]]="Cancelled",Table5[[#This Row],[Cancel Date]]&lt;&gt;""),"Cancelled","Active")</f>
        <v>Cancelled</v>
      </c>
      <c r="S93" s="28" t="str">
        <f>IF(Table5[[#This Row],[Delivery Status]]&lt;&gt;"Delivered",
"Not Delivered",
IF(Table5[[#This Row],[Delivery Date]]-Table5[[#This Row],[Order Date]]&lt;=2,"Fast","Slow")
)</f>
        <v>Not Delivered</v>
      </c>
      <c r="T93" s="31" t="str">
        <f>IF(Table5[[#This Row],[Delivery Status]]="Delivered",
Table5[[#This Row],[Delivery Date]]-Table5[[#This Row],[Order Date]],
"")</f>
        <v/>
      </c>
      <c r="U93">
        <f>_xlfn.XLOOKUP(Table5[[#This Row],[Region]],Table3[Region],Table3[Sales Target],"NA",0)</f>
        <v>105000</v>
      </c>
    </row>
    <row r="94" spans="1:21" x14ac:dyDescent="0.25">
      <c r="A94" s="28" t="s">
        <v>185</v>
      </c>
      <c r="B94" s="29">
        <v>44976</v>
      </c>
      <c r="C94" s="29">
        <v>44978</v>
      </c>
      <c r="D94" s="29"/>
      <c r="E94" s="28" t="s">
        <v>186</v>
      </c>
      <c r="F94" s="28" t="str">
        <f>_xlfn.XLOOKUP(Table5[[#This Row],[Customer ID]],Table4[Customer ID],Table4[Customer Name],"NA",0)</f>
        <v>Ethan Davis</v>
      </c>
      <c r="G94" s="28" t="str">
        <f>_xlfn.XLOOKUP(Table5[[#This Row],[Customer ID]],Table4[Customer ID],Table4[Customer Type],"NA",0)</f>
        <v>Business</v>
      </c>
      <c r="H94" s="28" t="s">
        <v>111</v>
      </c>
      <c r="I94" s="28" t="str">
        <f>_xlfn.XLOOKUP(Table5[[#This Row],[Product ID]],Table2[Product ID],Table2[Product Name],"NA",0)</f>
        <v>Cookware Set Pro</v>
      </c>
      <c r="J94" s="30" t="str">
        <f>_xlfn.XLOOKUP(Table5[[#This Row],[Product ID]],Table2[Product ID],Table2[Category],"NA",0)</f>
        <v>Home</v>
      </c>
      <c r="K94" s="28" t="s">
        <v>23</v>
      </c>
      <c r="L94" s="28">
        <v>210</v>
      </c>
      <c r="M94" s="28">
        <v>3</v>
      </c>
      <c r="N94" s="31">
        <v>630</v>
      </c>
      <c r="O94" s="28" t="s">
        <v>17</v>
      </c>
      <c r="P94" s="28" t="s">
        <v>25</v>
      </c>
      <c r="Q94" s="28" t="s">
        <v>19</v>
      </c>
      <c r="R94" s="37" t="str">
        <f>IF(OR(Table5[[#This Row],[Delivery Status]]="Cancelled",Table5[[#This Row],[Cancel Date]]&lt;&gt;""),"Cancelled","Active")</f>
        <v>Active</v>
      </c>
      <c r="S94" s="28" t="str">
        <f>IF(Table5[[#This Row],[Delivery Status]]&lt;&gt;"Delivered",
"Not Delivered",
IF(Table5[[#This Row],[Delivery Date]]-Table5[[#This Row],[Order Date]]&lt;=2,"Fast","Slow")
)</f>
        <v>Fast</v>
      </c>
      <c r="T94" s="31">
        <f>IF(Table5[[#This Row],[Delivery Status]]="Delivered",
Table5[[#This Row],[Delivery Date]]-Table5[[#This Row],[Order Date]],
"")</f>
        <v>2</v>
      </c>
      <c r="U94">
        <f>_xlfn.XLOOKUP(Table5[[#This Row],[Region]],Table3[Region],Table3[Sales Target],"NA",0)</f>
        <v>50500</v>
      </c>
    </row>
    <row r="95" spans="1:21" x14ac:dyDescent="0.25">
      <c r="A95" s="28" t="s">
        <v>187</v>
      </c>
      <c r="B95" s="29">
        <v>45265</v>
      </c>
      <c r="C95" s="29"/>
      <c r="D95" s="29">
        <v>45272</v>
      </c>
      <c r="E95" s="28" t="s">
        <v>52</v>
      </c>
      <c r="F95" s="28" t="str">
        <f>_xlfn.XLOOKUP(Table5[[#This Row],[Customer ID]],Table4[Customer ID],Table4[Customer Name],"NA",0)</f>
        <v>Olivia Martinez</v>
      </c>
      <c r="G95" s="28" t="str">
        <f>_xlfn.XLOOKUP(Table5[[#This Row],[Customer ID]],Table4[Customer ID],Table4[Customer Type],"NA",0)</f>
        <v>Prime</v>
      </c>
      <c r="H95" s="28" t="s">
        <v>119</v>
      </c>
      <c r="I95" s="28" t="str">
        <f>_xlfn.XLOOKUP(Table5[[#This Row],[Product ID]],Table2[Product ID],Table2[Product Name],"NA",0)</f>
        <v>Leg Set</v>
      </c>
      <c r="J95" s="30" t="str">
        <f>_xlfn.XLOOKUP(Table5[[#This Row],[Product ID]],Table2[Product ID],Table2[Category],"NA",0)</f>
        <v>Toys</v>
      </c>
      <c r="K95" s="28" t="s">
        <v>16</v>
      </c>
      <c r="L95" s="28">
        <v>62</v>
      </c>
      <c r="M95" s="28">
        <v>2</v>
      </c>
      <c r="N95" s="31">
        <v>124</v>
      </c>
      <c r="O95" s="28" t="s">
        <v>24</v>
      </c>
      <c r="P95" s="28" t="s">
        <v>18</v>
      </c>
      <c r="Q95" s="28" t="s">
        <v>61</v>
      </c>
      <c r="R95" s="37" t="str">
        <f>IF(OR(Table5[[#This Row],[Delivery Status]]="Cancelled",Table5[[#This Row],[Cancel Date]]&lt;&gt;""),"Cancelled","Active")</f>
        <v>Cancelled</v>
      </c>
      <c r="S95" s="28" t="str">
        <f>IF(Table5[[#This Row],[Delivery Status]]&lt;&gt;"Delivered",
"Not Delivered",
IF(Table5[[#This Row],[Delivery Date]]-Table5[[#This Row],[Order Date]]&lt;=2,"Fast","Slow")
)</f>
        <v>Not Delivered</v>
      </c>
      <c r="T95" s="31" t="str">
        <f>IF(Table5[[#This Row],[Delivery Status]]="Delivered",
Table5[[#This Row],[Delivery Date]]-Table5[[#This Row],[Order Date]],
"")</f>
        <v/>
      </c>
      <c r="U95">
        <f>_xlfn.XLOOKUP(Table5[[#This Row],[Region]],Table3[Region],Table3[Sales Target],"NA",0)</f>
        <v>105000</v>
      </c>
    </row>
    <row r="96" spans="1:21" x14ac:dyDescent="0.25">
      <c r="A96" s="28" t="s">
        <v>188</v>
      </c>
      <c r="B96" s="29">
        <v>45084</v>
      </c>
      <c r="C96" s="29"/>
      <c r="D96" s="29">
        <v>45089</v>
      </c>
      <c r="E96" s="28" t="s">
        <v>178</v>
      </c>
      <c r="F96" s="28" t="str">
        <f>_xlfn.XLOOKUP(Table5[[#This Row],[Customer ID]],Table4[Customer ID],Table4[Customer Name],"NA",0)</f>
        <v>Lily Reed</v>
      </c>
      <c r="G96" s="28" t="str">
        <f>_xlfn.XLOOKUP(Table5[[#This Row],[Customer ID]],Table4[Customer ID],Table4[Customer Type],"NA",0)</f>
        <v>Individual</v>
      </c>
      <c r="H96" s="28" t="s">
        <v>104</v>
      </c>
      <c r="I96" s="28" t="str">
        <f>_xlfn.XLOOKUP(Table5[[#This Row],[Product ID]],Table2[Product ID],Table2[Product Name],"NA",0)</f>
        <v>Magazine</v>
      </c>
      <c r="J96" s="30" t="str">
        <f>_xlfn.XLOOKUP(Table5[[#This Row],[Product ID]],Table2[Product ID],Table2[Category],"NA",0)</f>
        <v>Books</v>
      </c>
      <c r="K96" s="28" t="s">
        <v>28</v>
      </c>
      <c r="L96" s="28">
        <v>11</v>
      </c>
      <c r="M96" s="28">
        <v>5</v>
      </c>
      <c r="N96" s="31">
        <v>55</v>
      </c>
      <c r="O96" s="28" t="s">
        <v>46</v>
      </c>
      <c r="P96" s="28" t="s">
        <v>18</v>
      </c>
      <c r="Q96" s="28" t="s">
        <v>38</v>
      </c>
      <c r="R96" s="37" t="str">
        <f>IF(OR(Table5[[#This Row],[Delivery Status]]="Cancelled",Table5[[#This Row],[Cancel Date]]&lt;&gt;""),"Cancelled","Active")</f>
        <v>Cancelled</v>
      </c>
      <c r="S96" s="28" t="str">
        <f>IF(Table5[[#This Row],[Delivery Status]]&lt;&gt;"Delivered",
"Not Delivered",
IF(Table5[[#This Row],[Delivery Date]]-Table5[[#This Row],[Order Date]]&lt;=2,"Fast","Slow")
)</f>
        <v>Not Delivered</v>
      </c>
      <c r="T96" s="31" t="str">
        <f>IF(Table5[[#This Row],[Delivery Status]]="Delivered",
Table5[[#This Row],[Delivery Date]]-Table5[[#This Row],[Order Date]],
"")</f>
        <v/>
      </c>
      <c r="U96">
        <f>_xlfn.XLOOKUP(Table5[[#This Row],[Region]],Table3[Region],Table3[Sales Target],"NA",0)</f>
        <v>91500</v>
      </c>
    </row>
    <row r="97" spans="1:21" x14ac:dyDescent="0.25">
      <c r="A97" s="28" t="s">
        <v>189</v>
      </c>
      <c r="B97" s="29">
        <v>45116</v>
      </c>
      <c r="C97" s="29">
        <v>45119</v>
      </c>
      <c r="D97" s="29"/>
      <c r="E97" s="28" t="s">
        <v>139</v>
      </c>
      <c r="F97" s="28" t="str">
        <f>_xlfn.XLOOKUP(Table5[[#This Row],[Customer ID]],Table4[Customer ID],Table4[Customer Name],"NA",0)</f>
        <v>Emma King</v>
      </c>
      <c r="G97" s="28" t="str">
        <f>_xlfn.XLOOKUP(Table5[[#This Row],[Customer ID]],Table4[Customer ID],Table4[Customer Type],"NA",0)</f>
        <v>Business</v>
      </c>
      <c r="H97" s="28" t="s">
        <v>73</v>
      </c>
      <c r="I97" s="28" t="str">
        <f>_xlfn.XLOOKUP(Table5[[#This Row],[Product ID]],Table2[Product ID],Table2[Product Name],"NA",0)</f>
        <v>Novel</v>
      </c>
      <c r="J97" s="30" t="str">
        <f>_xlfn.XLOOKUP(Table5[[#This Row],[Product ID]],Table2[Product ID],Table2[Category],"NA",0)</f>
        <v>Books</v>
      </c>
      <c r="K97" s="28" t="s">
        <v>16</v>
      </c>
      <c r="L97" s="28">
        <v>21</v>
      </c>
      <c r="M97" s="28">
        <v>2</v>
      </c>
      <c r="N97" s="31">
        <v>42</v>
      </c>
      <c r="O97" s="28" t="s">
        <v>41</v>
      </c>
      <c r="P97" s="28" t="s">
        <v>25</v>
      </c>
      <c r="Q97" s="28" t="s">
        <v>34</v>
      </c>
      <c r="R97" s="37" t="str">
        <f>IF(OR(Table5[[#This Row],[Delivery Status]]="Cancelled",Table5[[#This Row],[Cancel Date]]&lt;&gt;""),"Cancelled","Active")</f>
        <v>Active</v>
      </c>
      <c r="S97" s="28" t="str">
        <f>IF(Table5[[#This Row],[Delivery Status]]&lt;&gt;"Delivered",
"Not Delivered",
IF(Table5[[#This Row],[Delivery Date]]-Table5[[#This Row],[Order Date]]&lt;=2,"Fast","Slow")
)</f>
        <v>Slow</v>
      </c>
      <c r="T97" s="31">
        <f>IF(Table5[[#This Row],[Delivery Status]]="Delivered",
Table5[[#This Row],[Delivery Date]]-Table5[[#This Row],[Order Date]],
"")</f>
        <v>3</v>
      </c>
      <c r="U97">
        <f>_xlfn.XLOOKUP(Table5[[#This Row],[Region]],Table3[Region],Table3[Sales Target],"NA",0)</f>
        <v>105000</v>
      </c>
    </row>
    <row r="98" spans="1:21" x14ac:dyDescent="0.25">
      <c r="A98" s="28" t="s">
        <v>190</v>
      </c>
      <c r="B98" s="29">
        <v>45283</v>
      </c>
      <c r="C98" s="29">
        <v>45286</v>
      </c>
      <c r="D98" s="29"/>
      <c r="E98" s="28" t="s">
        <v>63</v>
      </c>
      <c r="F98" s="28" t="str">
        <f>_xlfn.XLOOKUP(Table5[[#This Row],[Customer ID]],Table4[Customer ID],Table4[Customer Name],"NA",0)</f>
        <v>Charlotte Reed</v>
      </c>
      <c r="G98" s="28" t="str">
        <f>_xlfn.XLOOKUP(Table5[[#This Row],[Customer ID]],Table4[Customer ID],Table4[Customer Type],"NA",0)</f>
        <v>Individual</v>
      </c>
      <c r="H98" s="28" t="s">
        <v>22</v>
      </c>
      <c r="I98" s="28" t="str">
        <f>_xlfn.XLOOKUP(Table5[[#This Row],[Product ID]],Table2[Product ID],Table2[Product Name],"NA",0)</f>
        <v>Doll House</v>
      </c>
      <c r="J98" s="30" t="str">
        <f>_xlfn.XLOOKUP(Table5[[#This Row],[Product ID]],Table2[Product ID],Table2[Category],"NA",0)</f>
        <v>Toys</v>
      </c>
      <c r="K98" s="28" t="s">
        <v>50</v>
      </c>
      <c r="L98" s="28">
        <v>95</v>
      </c>
      <c r="M98" s="28">
        <v>5</v>
      </c>
      <c r="N98" s="31">
        <v>475</v>
      </c>
      <c r="O98" s="28" t="s">
        <v>41</v>
      </c>
      <c r="P98" s="28" t="s">
        <v>25</v>
      </c>
      <c r="Q98" s="28" t="s">
        <v>38</v>
      </c>
      <c r="R98" s="37" t="str">
        <f>IF(OR(Table5[[#This Row],[Delivery Status]]="Cancelled",Table5[[#This Row],[Cancel Date]]&lt;&gt;""),"Cancelled","Active")</f>
        <v>Active</v>
      </c>
      <c r="S98" s="28" t="str">
        <f>IF(Table5[[#This Row],[Delivery Status]]&lt;&gt;"Delivered",
"Not Delivered",
IF(Table5[[#This Row],[Delivery Date]]-Table5[[#This Row],[Order Date]]&lt;=2,"Fast","Slow")
)</f>
        <v>Slow</v>
      </c>
      <c r="T98" s="31">
        <f>IF(Table5[[#This Row],[Delivery Status]]="Delivered",
Table5[[#This Row],[Delivery Date]]-Table5[[#This Row],[Order Date]],
"")</f>
        <v>3</v>
      </c>
      <c r="U98">
        <f>_xlfn.XLOOKUP(Table5[[#This Row],[Region]],Table3[Region],Table3[Sales Target],"NA",0)</f>
        <v>90750</v>
      </c>
    </row>
    <row r="99" spans="1:21" x14ac:dyDescent="0.25">
      <c r="A99" s="28" t="s">
        <v>191</v>
      </c>
      <c r="B99" s="29">
        <v>45194</v>
      </c>
      <c r="C99" s="29">
        <v>45199</v>
      </c>
      <c r="D99" s="29"/>
      <c r="E99" s="28" t="s">
        <v>32</v>
      </c>
      <c r="F99" s="28" t="str">
        <f>_xlfn.XLOOKUP(Table5[[#This Row],[Customer ID]],Table4[Customer ID],Table4[Customer Name],"NA",0)</f>
        <v>Grace Ward</v>
      </c>
      <c r="G99" s="28" t="str">
        <f>_xlfn.XLOOKUP(Table5[[#This Row],[Customer ID]],Table4[Customer ID],Table4[Customer Type],"NA",0)</f>
        <v>Business</v>
      </c>
      <c r="H99" s="28" t="s">
        <v>111</v>
      </c>
      <c r="I99" s="28" t="str">
        <f>_xlfn.XLOOKUP(Table5[[#This Row],[Product ID]],Table2[Product ID],Table2[Product Name],"NA",0)</f>
        <v>Cookware Set Pro</v>
      </c>
      <c r="J99" s="30" t="str">
        <f>_xlfn.XLOOKUP(Table5[[#This Row],[Product ID]],Table2[Product ID],Table2[Category],"NA",0)</f>
        <v>Home</v>
      </c>
      <c r="K99" s="28" t="s">
        <v>28</v>
      </c>
      <c r="L99" s="28">
        <v>215</v>
      </c>
      <c r="M99" s="28">
        <v>2</v>
      </c>
      <c r="N99" s="31">
        <v>430</v>
      </c>
      <c r="O99" s="28" t="s">
        <v>33</v>
      </c>
      <c r="P99" s="28" t="s">
        <v>25</v>
      </c>
      <c r="Q99" s="28" t="s">
        <v>38</v>
      </c>
      <c r="R99" s="37" t="str">
        <f>IF(OR(Table5[[#This Row],[Delivery Status]]="Cancelled",Table5[[#This Row],[Cancel Date]]&lt;&gt;""),"Cancelled","Active")</f>
        <v>Active</v>
      </c>
      <c r="S99" s="28" t="str">
        <f>IF(Table5[[#This Row],[Delivery Status]]&lt;&gt;"Delivered",
"Not Delivered",
IF(Table5[[#This Row],[Delivery Date]]-Table5[[#This Row],[Order Date]]&lt;=2,"Fast","Slow")
)</f>
        <v>Slow</v>
      </c>
      <c r="T99" s="31">
        <f>IF(Table5[[#This Row],[Delivery Status]]="Delivered",
Table5[[#This Row],[Delivery Date]]-Table5[[#This Row],[Order Date]],
"")</f>
        <v>5</v>
      </c>
      <c r="U99">
        <f>_xlfn.XLOOKUP(Table5[[#This Row],[Region]],Table3[Region],Table3[Sales Target],"NA",0)</f>
        <v>91500</v>
      </c>
    </row>
    <row r="100" spans="1:21" x14ac:dyDescent="0.25">
      <c r="A100" s="28" t="s">
        <v>192</v>
      </c>
      <c r="B100" s="29">
        <v>44944</v>
      </c>
      <c r="C100" s="29"/>
      <c r="D100" s="29">
        <v>44950</v>
      </c>
      <c r="E100" s="28" t="s">
        <v>193</v>
      </c>
      <c r="F100" s="28" t="str">
        <f>_xlfn.XLOOKUP(Table5[[#This Row],[Customer ID]],Table4[Customer ID],Table4[Customer Name],"NA",0)</f>
        <v>Lily Simmons</v>
      </c>
      <c r="G100" s="28" t="str">
        <f>_xlfn.XLOOKUP(Table5[[#This Row],[Customer ID]],Table4[Customer ID],Table4[Customer Type],"NA",0)</f>
        <v>Individual</v>
      </c>
      <c r="H100" s="28" t="s">
        <v>53</v>
      </c>
      <c r="I100" s="28" t="str">
        <f>_xlfn.XLOOKUP(Table5[[#This Row],[Product ID]],Table2[Product ID],Table2[Product Name],"NA",0)</f>
        <v>Formal Shirt</v>
      </c>
      <c r="J100" s="30" t="str">
        <f>_xlfn.XLOOKUP(Table5[[#This Row],[Product ID]],Table2[Product ID],Table2[Category],"NA",0)</f>
        <v>Fashion</v>
      </c>
      <c r="K100" s="28" t="s">
        <v>50</v>
      </c>
      <c r="L100" s="28">
        <v>43</v>
      </c>
      <c r="M100" s="28">
        <v>5</v>
      </c>
      <c r="N100" s="31">
        <v>215</v>
      </c>
      <c r="O100" s="28" t="s">
        <v>24</v>
      </c>
      <c r="P100" s="28" t="s">
        <v>18</v>
      </c>
      <c r="Q100" s="28" t="s">
        <v>34</v>
      </c>
      <c r="R100" s="37" t="str">
        <f>IF(OR(Table5[[#This Row],[Delivery Status]]="Cancelled",Table5[[#This Row],[Cancel Date]]&lt;&gt;""),"Cancelled","Active")</f>
        <v>Cancelled</v>
      </c>
      <c r="S100" s="28" t="str">
        <f>IF(Table5[[#This Row],[Delivery Status]]&lt;&gt;"Delivered",
"Not Delivered",
IF(Table5[[#This Row],[Delivery Date]]-Table5[[#This Row],[Order Date]]&lt;=2,"Fast","Slow")
)</f>
        <v>Not Delivered</v>
      </c>
      <c r="T100" s="31" t="str">
        <f>IF(Table5[[#This Row],[Delivery Status]]="Delivered",
Table5[[#This Row],[Delivery Date]]-Table5[[#This Row],[Order Date]],
"")</f>
        <v/>
      </c>
      <c r="U100">
        <f>_xlfn.XLOOKUP(Table5[[#This Row],[Region]],Table3[Region],Table3[Sales Target],"NA",0)</f>
        <v>90750</v>
      </c>
    </row>
    <row r="101" spans="1:21" x14ac:dyDescent="0.25">
      <c r="A101" s="28" t="s">
        <v>194</v>
      </c>
      <c r="B101" s="29">
        <v>45012</v>
      </c>
      <c r="C101" s="29"/>
      <c r="D101" s="29"/>
      <c r="E101" s="28" t="s">
        <v>40</v>
      </c>
      <c r="F101" s="28" t="str">
        <f>_xlfn.XLOOKUP(Table5[[#This Row],[Customer ID]],Table4[Customer ID],Table4[Customer Name],"NA",0)</f>
        <v>Jackson Allen</v>
      </c>
      <c r="G101" s="28" t="str">
        <f>_xlfn.XLOOKUP(Table5[[#This Row],[Customer ID]],Table4[Customer ID],Table4[Customer Type],"NA",0)</f>
        <v>Business</v>
      </c>
      <c r="H101" s="28" t="s">
        <v>90</v>
      </c>
      <c r="I101" s="28" t="str">
        <f>_xlfn.XLOOKUP(Table5[[#This Row],[Product ID]],Table2[Product ID],Table2[Product Name],"NA",0)</f>
        <v>Action Figure</v>
      </c>
      <c r="J101" s="30" t="str">
        <f>_xlfn.XLOOKUP(Table5[[#This Row],[Product ID]],Table2[Product ID],Table2[Category],"NA",0)</f>
        <v>Toys</v>
      </c>
      <c r="K101" s="28" t="s">
        <v>50</v>
      </c>
      <c r="L101" s="28">
        <v>42</v>
      </c>
      <c r="M101" s="28">
        <v>4</v>
      </c>
      <c r="N101" s="31">
        <v>168</v>
      </c>
      <c r="O101" s="28" t="s">
        <v>46</v>
      </c>
      <c r="P101" s="28" t="s">
        <v>29</v>
      </c>
      <c r="Q101" s="28" t="s">
        <v>19</v>
      </c>
      <c r="R101" s="37" t="str">
        <f>IF(OR(Table5[[#This Row],[Delivery Status]]="Cancelled",Table5[[#This Row],[Cancel Date]]&lt;&gt;""),"Cancelled","Active")</f>
        <v>Active</v>
      </c>
      <c r="S101" s="28" t="str">
        <f>IF(Table5[[#This Row],[Delivery Status]]&lt;&gt;"Delivered",
"Not Delivered",
IF(Table5[[#This Row],[Delivery Date]]-Table5[[#This Row],[Order Date]]&lt;=2,"Fast","Slow")
)</f>
        <v>Not Delivered</v>
      </c>
      <c r="T101" s="31" t="str">
        <f>IF(Table5[[#This Row],[Delivery Status]]="Delivered",
Table5[[#This Row],[Delivery Date]]-Table5[[#This Row],[Order Date]],
"")</f>
        <v/>
      </c>
      <c r="U101">
        <f>_xlfn.XLOOKUP(Table5[[#This Row],[Region]],Table3[Region],Table3[Sales Target],"NA",0)</f>
        <v>90750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sqref="A1:B6"/>
    </sheetView>
  </sheetViews>
  <sheetFormatPr defaultColWidth="14.42578125" defaultRowHeight="15" customHeight="1" x14ac:dyDescent="0.25"/>
  <sheetData>
    <row r="1" spans="1:26" x14ac:dyDescent="0.25">
      <c r="A1" s="10" t="s">
        <v>6</v>
      </c>
      <c r="B1" s="11" t="s">
        <v>248</v>
      </c>
      <c r="C1" s="5"/>
      <c r="D1" s="5"/>
      <c r="E1" s="5"/>
      <c r="F1" s="5"/>
      <c r="G1" s="5"/>
      <c r="H1" s="5"/>
      <c r="I1" s="5"/>
      <c r="J1" s="5"/>
      <c r="K1" s="5"/>
      <c r="L1" s="5"/>
      <c r="M1" s="5"/>
      <c r="N1" s="5"/>
      <c r="O1" s="5"/>
      <c r="P1" s="5"/>
      <c r="Q1" s="5"/>
      <c r="R1" s="5"/>
      <c r="S1" s="5"/>
      <c r="T1" s="5"/>
      <c r="U1" s="5"/>
      <c r="V1" s="5"/>
      <c r="W1" s="5"/>
      <c r="X1" s="5"/>
      <c r="Y1" s="5"/>
      <c r="Z1" s="5"/>
    </row>
    <row r="2" spans="1:26" x14ac:dyDescent="0.25">
      <c r="A2" s="9" t="s">
        <v>45</v>
      </c>
      <c r="B2" s="23">
        <v>97500</v>
      </c>
      <c r="C2" s="5"/>
      <c r="D2" s="5"/>
      <c r="E2" s="5"/>
      <c r="F2" s="5"/>
      <c r="G2" s="5"/>
      <c r="H2" s="5"/>
      <c r="I2" s="5"/>
      <c r="J2" s="5"/>
      <c r="K2" s="5"/>
      <c r="L2" s="5"/>
      <c r="M2" s="5"/>
      <c r="N2" s="5"/>
      <c r="O2" s="5"/>
      <c r="P2" s="5"/>
      <c r="Q2" s="5"/>
      <c r="R2" s="5"/>
      <c r="S2" s="5"/>
      <c r="T2" s="5"/>
      <c r="U2" s="5"/>
      <c r="V2" s="5"/>
      <c r="W2" s="5"/>
      <c r="X2" s="5"/>
      <c r="Y2" s="5"/>
      <c r="Z2" s="5"/>
    </row>
    <row r="3" spans="1:26" x14ac:dyDescent="0.25">
      <c r="A3" s="9" t="s">
        <v>23</v>
      </c>
      <c r="B3" s="23">
        <v>50500</v>
      </c>
      <c r="C3" s="5"/>
      <c r="D3" s="5"/>
      <c r="E3" s="5"/>
      <c r="F3" s="5"/>
      <c r="G3" s="5"/>
      <c r="H3" s="5"/>
      <c r="I3" s="5"/>
      <c r="J3" s="5"/>
      <c r="K3" s="5"/>
      <c r="L3" s="5"/>
      <c r="M3" s="5"/>
      <c r="N3" s="5"/>
      <c r="O3" s="5"/>
      <c r="P3" s="5"/>
      <c r="Q3" s="5"/>
      <c r="R3" s="5"/>
      <c r="S3" s="5"/>
      <c r="T3" s="5"/>
      <c r="U3" s="5"/>
      <c r="V3" s="5"/>
      <c r="W3" s="5"/>
      <c r="X3" s="5"/>
      <c r="Y3" s="5"/>
      <c r="Z3" s="5"/>
    </row>
    <row r="4" spans="1:26" x14ac:dyDescent="0.25">
      <c r="A4" s="9" t="s">
        <v>16</v>
      </c>
      <c r="B4" s="23">
        <v>105000</v>
      </c>
      <c r="C4" s="5"/>
      <c r="D4" s="5"/>
      <c r="E4" s="5"/>
      <c r="F4" s="5"/>
      <c r="G4" s="5"/>
      <c r="H4" s="5"/>
      <c r="I4" s="5"/>
      <c r="J4" s="5"/>
      <c r="K4" s="5"/>
      <c r="L4" s="5"/>
      <c r="M4" s="5"/>
      <c r="N4" s="5"/>
      <c r="O4" s="5"/>
      <c r="P4" s="5"/>
      <c r="Q4" s="5"/>
      <c r="R4" s="5"/>
      <c r="S4" s="5"/>
      <c r="T4" s="5"/>
      <c r="U4" s="5"/>
      <c r="V4" s="5"/>
      <c r="W4" s="5"/>
      <c r="X4" s="5"/>
      <c r="Y4" s="5"/>
      <c r="Z4" s="5"/>
    </row>
    <row r="5" spans="1:26" x14ac:dyDescent="0.25">
      <c r="A5" s="9" t="s">
        <v>28</v>
      </c>
      <c r="B5" s="23">
        <v>91500</v>
      </c>
      <c r="C5" s="5"/>
      <c r="D5" s="5"/>
      <c r="E5" s="5"/>
      <c r="F5" s="5"/>
      <c r="G5" s="5"/>
      <c r="H5" s="5"/>
      <c r="I5" s="5"/>
      <c r="J5" s="5"/>
      <c r="K5" s="5"/>
      <c r="L5" s="5"/>
      <c r="M5" s="5"/>
      <c r="N5" s="5"/>
      <c r="O5" s="5"/>
      <c r="P5" s="5"/>
      <c r="Q5" s="5"/>
      <c r="R5" s="5"/>
      <c r="S5" s="5"/>
      <c r="T5" s="5"/>
      <c r="U5" s="5"/>
      <c r="V5" s="5"/>
      <c r="W5" s="5"/>
      <c r="X5" s="5"/>
      <c r="Y5" s="5"/>
      <c r="Z5" s="5"/>
    </row>
    <row r="6" spans="1:26" x14ac:dyDescent="0.25">
      <c r="A6" s="12" t="s">
        <v>50</v>
      </c>
      <c r="B6" s="24">
        <v>90750</v>
      </c>
      <c r="C6" s="5"/>
      <c r="F6" s="5"/>
      <c r="G6" s="5"/>
      <c r="H6" s="5"/>
      <c r="I6" s="5"/>
      <c r="J6" s="5"/>
      <c r="K6" s="5"/>
      <c r="L6" s="5"/>
      <c r="M6" s="5"/>
      <c r="N6" s="5"/>
      <c r="O6" s="5"/>
      <c r="P6" s="5"/>
      <c r="Q6" s="5"/>
      <c r="R6" s="5"/>
      <c r="S6" s="5"/>
      <c r="T6" s="5"/>
      <c r="U6" s="5"/>
      <c r="V6" s="5"/>
      <c r="W6" s="5"/>
      <c r="X6" s="5"/>
      <c r="Y6" s="5"/>
      <c r="Z6" s="5"/>
    </row>
    <row r="7" spans="1:26" x14ac:dyDescent="0.25">
      <c r="A7" s="5"/>
      <c r="B7" s="5"/>
      <c r="C7" s="5"/>
      <c r="F7" s="5"/>
      <c r="G7" s="5"/>
      <c r="H7" s="5"/>
      <c r="I7" s="5"/>
      <c r="J7" s="5"/>
      <c r="K7" s="5"/>
      <c r="L7" s="5"/>
      <c r="M7" s="5"/>
      <c r="N7" s="5"/>
      <c r="O7" s="5"/>
      <c r="P7" s="5"/>
      <c r="Q7" s="5"/>
      <c r="R7" s="5"/>
      <c r="S7" s="5"/>
      <c r="T7" s="5"/>
      <c r="U7" s="5"/>
      <c r="V7" s="5"/>
      <c r="W7" s="5"/>
      <c r="X7" s="5"/>
      <c r="Y7" s="5"/>
      <c r="Z7" s="5"/>
    </row>
    <row r="8" spans="1:26" x14ac:dyDescent="0.25">
      <c r="A8" s="5"/>
      <c r="B8" s="5"/>
      <c r="C8" s="5"/>
      <c r="F8" s="5"/>
      <c r="G8" s="5"/>
      <c r="H8" s="5"/>
      <c r="I8" s="5"/>
      <c r="J8" s="5"/>
      <c r="K8" s="5"/>
      <c r="L8" s="5"/>
      <c r="M8" s="5"/>
      <c r="N8" s="5"/>
      <c r="O8" s="5"/>
      <c r="P8" s="5"/>
      <c r="Q8" s="5"/>
      <c r="R8" s="5"/>
      <c r="S8" s="5"/>
      <c r="T8" s="5"/>
      <c r="U8" s="5"/>
      <c r="V8" s="5"/>
      <c r="W8" s="5"/>
      <c r="X8" s="5"/>
      <c r="Y8" s="5"/>
      <c r="Z8" s="5"/>
    </row>
    <row r="9" spans="1:26" x14ac:dyDescent="0.25">
      <c r="A9" s="5"/>
      <c r="B9" s="5"/>
      <c r="C9" s="5"/>
      <c r="F9" s="5"/>
      <c r="G9" s="5"/>
      <c r="H9" s="5"/>
      <c r="I9" s="5"/>
      <c r="J9" s="5"/>
      <c r="K9" s="5"/>
      <c r="L9" s="5"/>
      <c r="M9" s="5"/>
      <c r="N9" s="5"/>
      <c r="O9" s="5"/>
      <c r="P9" s="5"/>
      <c r="Q9" s="5"/>
      <c r="R9" s="5"/>
      <c r="S9" s="5"/>
      <c r="T9" s="5"/>
      <c r="U9" s="5"/>
      <c r="V9" s="5"/>
      <c r="W9" s="5"/>
      <c r="X9" s="5"/>
      <c r="Y9" s="5"/>
      <c r="Z9" s="5"/>
    </row>
    <row r="10" spans="1:26" x14ac:dyDescent="0.25">
      <c r="A10" s="5"/>
      <c r="B10" s="5"/>
      <c r="C10" s="5"/>
      <c r="F10" s="5"/>
      <c r="G10" s="5"/>
      <c r="H10" s="5"/>
      <c r="I10" s="5"/>
      <c r="J10" s="5"/>
      <c r="K10" s="5"/>
      <c r="L10" s="5"/>
      <c r="M10" s="5"/>
      <c r="N10" s="5"/>
      <c r="O10" s="5"/>
      <c r="P10" s="5"/>
      <c r="Q10" s="5"/>
      <c r="R10" s="5"/>
      <c r="S10" s="5"/>
      <c r="T10" s="5"/>
      <c r="U10" s="5"/>
      <c r="V10" s="5"/>
      <c r="W10" s="5"/>
      <c r="X10" s="5"/>
      <c r="Y10" s="5"/>
      <c r="Z10" s="5"/>
    </row>
    <row r="11" spans="1:26" x14ac:dyDescent="0.25">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x14ac:dyDescent="0.25">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x14ac:dyDescent="0.25">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x14ac:dyDescent="0.25">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25">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25">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25">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25">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25">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25">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x14ac:dyDescent="0.25">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2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x14ac:dyDescent="0.2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x14ac:dyDescent="0.2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x14ac:dyDescent="0.2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x14ac:dyDescent="0.2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x14ac:dyDescent="0.2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x14ac:dyDescent="0.2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x14ac:dyDescent="0.2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x14ac:dyDescent="0.2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x14ac:dyDescent="0.2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x14ac:dyDescent="0.2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x14ac:dyDescent="0.2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x14ac:dyDescent="0.2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x14ac:dyDescent="0.2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x14ac:dyDescent="0.2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x14ac:dyDescent="0.2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x14ac:dyDescent="0.2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x14ac:dyDescent="0.2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x14ac:dyDescent="0.2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x14ac:dyDescent="0.2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x14ac:dyDescent="0.2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x14ac:dyDescent="0.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x14ac:dyDescent="0.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x14ac:dyDescent="0.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x14ac:dyDescent="0.2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x14ac:dyDescent="0.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x14ac:dyDescent="0.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x14ac:dyDescent="0.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x14ac:dyDescent="0.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x14ac:dyDescent="0.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x14ac:dyDescent="0.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x14ac:dyDescent="0.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x14ac:dyDescent="0.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x14ac:dyDescent="0.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x14ac:dyDescent="0.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x14ac:dyDescent="0.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x14ac:dyDescent="0.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x14ac:dyDescent="0.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x14ac:dyDescent="0.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x14ac:dyDescent="0.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x14ac:dyDescent="0.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x14ac:dyDescent="0.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x14ac:dyDescent="0.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x14ac:dyDescent="0.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x14ac:dyDescent="0.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x14ac:dyDescent="0.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x14ac:dyDescent="0.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x14ac:dyDescent="0.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x14ac:dyDescent="0.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x14ac:dyDescent="0.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x14ac:dyDescent="0.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x14ac:dyDescent="0.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A50" sqref="A50"/>
    </sheetView>
  </sheetViews>
  <sheetFormatPr defaultColWidth="14.42578125" defaultRowHeight="15" customHeight="1" x14ac:dyDescent="0.25"/>
  <cols>
    <col min="1" max="1" width="14" customWidth="1"/>
    <col min="2" max="2" width="17.42578125" customWidth="1"/>
    <col min="3" max="3" width="16.42578125" customWidth="1"/>
    <col min="4" max="4" width="13.42578125" customWidth="1"/>
    <col min="5" max="5" width="12" customWidth="1"/>
    <col min="6" max="26" width="8.7109375" customWidth="1"/>
  </cols>
  <sheetData>
    <row r="1" spans="1:26" ht="18" customHeight="1" x14ac:dyDescent="0.25">
      <c r="A1" s="15" t="s">
        <v>4</v>
      </c>
      <c r="B1" s="16" t="s">
        <v>249</v>
      </c>
      <c r="C1" s="16" t="s">
        <v>250</v>
      </c>
      <c r="D1" s="16" t="s">
        <v>251</v>
      </c>
      <c r="E1" s="18" t="s">
        <v>252</v>
      </c>
      <c r="F1" s="1"/>
      <c r="G1" s="1"/>
      <c r="H1" s="1"/>
      <c r="I1" s="1"/>
      <c r="J1" s="1"/>
      <c r="K1" s="1"/>
      <c r="L1" s="1"/>
      <c r="M1" s="1"/>
      <c r="N1" s="1"/>
      <c r="O1" s="1"/>
      <c r="P1" s="1"/>
      <c r="Q1" s="1"/>
      <c r="R1" s="1"/>
      <c r="S1" s="1"/>
      <c r="T1" s="1"/>
      <c r="U1" s="1"/>
      <c r="V1" s="1"/>
      <c r="W1" s="1"/>
      <c r="X1" s="1"/>
      <c r="Y1" s="1"/>
      <c r="Z1" s="1"/>
    </row>
    <row r="2" spans="1:26" ht="18" customHeight="1" x14ac:dyDescent="0.25">
      <c r="A2" s="13" t="s">
        <v>121</v>
      </c>
      <c r="B2" s="3" t="s">
        <v>253</v>
      </c>
      <c r="C2" s="3" t="s">
        <v>254</v>
      </c>
      <c r="D2" s="3" t="s">
        <v>255</v>
      </c>
      <c r="E2" s="14" t="s">
        <v>255</v>
      </c>
    </row>
    <row r="3" spans="1:26" ht="18" customHeight="1" x14ac:dyDescent="0.25">
      <c r="A3" s="13" t="s">
        <v>256</v>
      </c>
      <c r="B3" s="3" t="s">
        <v>257</v>
      </c>
      <c r="C3" s="3" t="s">
        <v>258</v>
      </c>
      <c r="D3" s="3" t="s">
        <v>259</v>
      </c>
      <c r="E3" s="14" t="s">
        <v>260</v>
      </c>
    </row>
    <row r="4" spans="1:26" ht="18" customHeight="1" x14ac:dyDescent="0.25">
      <c r="A4" s="13" t="s">
        <v>143</v>
      </c>
      <c r="B4" s="3" t="s">
        <v>261</v>
      </c>
      <c r="C4" s="3" t="s">
        <v>258</v>
      </c>
      <c r="D4" s="3" t="s">
        <v>262</v>
      </c>
      <c r="E4" s="14" t="s">
        <v>263</v>
      </c>
    </row>
    <row r="5" spans="1:26" ht="18" customHeight="1" x14ac:dyDescent="0.25">
      <c r="A5" s="13" t="s">
        <v>150</v>
      </c>
      <c r="B5" s="3" t="s">
        <v>264</v>
      </c>
      <c r="C5" s="3" t="s">
        <v>258</v>
      </c>
      <c r="D5" s="3" t="s">
        <v>265</v>
      </c>
      <c r="E5" s="14" t="s">
        <v>266</v>
      </c>
    </row>
    <row r="6" spans="1:26" ht="18" customHeight="1" x14ac:dyDescent="0.25">
      <c r="A6" s="13" t="s">
        <v>267</v>
      </c>
      <c r="B6" s="3" t="s">
        <v>268</v>
      </c>
      <c r="C6" s="3" t="s">
        <v>258</v>
      </c>
      <c r="D6" s="3" t="s">
        <v>259</v>
      </c>
      <c r="E6" s="14" t="s">
        <v>260</v>
      </c>
    </row>
    <row r="7" spans="1:26" ht="18" customHeight="1" x14ac:dyDescent="0.25">
      <c r="A7" s="13" t="s">
        <v>118</v>
      </c>
      <c r="B7" s="3" t="s">
        <v>269</v>
      </c>
      <c r="C7" s="3" t="s">
        <v>258</v>
      </c>
      <c r="D7" s="3" t="s">
        <v>270</v>
      </c>
      <c r="E7" s="14" t="s">
        <v>271</v>
      </c>
    </row>
    <row r="8" spans="1:26" ht="18" customHeight="1" x14ac:dyDescent="0.25">
      <c r="A8" s="13" t="s">
        <v>97</v>
      </c>
      <c r="B8" s="3" t="s">
        <v>272</v>
      </c>
      <c r="C8" s="3" t="s">
        <v>258</v>
      </c>
      <c r="D8" s="3" t="s">
        <v>265</v>
      </c>
      <c r="E8" s="14" t="s">
        <v>266</v>
      </c>
    </row>
    <row r="9" spans="1:26" ht="18" customHeight="1" x14ac:dyDescent="0.25">
      <c r="A9" s="13" t="s">
        <v>99</v>
      </c>
      <c r="B9" s="3" t="s">
        <v>273</v>
      </c>
      <c r="C9" s="3" t="s">
        <v>254</v>
      </c>
      <c r="D9" s="3" t="s">
        <v>274</v>
      </c>
      <c r="E9" s="14" t="s">
        <v>263</v>
      </c>
    </row>
    <row r="10" spans="1:26" ht="18" customHeight="1" x14ac:dyDescent="0.25">
      <c r="A10" s="13" t="s">
        <v>40</v>
      </c>
      <c r="B10" s="3" t="s">
        <v>275</v>
      </c>
      <c r="C10" s="3" t="s">
        <v>254</v>
      </c>
      <c r="D10" s="3" t="s">
        <v>259</v>
      </c>
      <c r="E10" s="14" t="s">
        <v>260</v>
      </c>
    </row>
    <row r="11" spans="1:26" ht="18" customHeight="1" x14ac:dyDescent="0.25">
      <c r="A11" s="13" t="s">
        <v>276</v>
      </c>
      <c r="B11" s="3" t="s">
        <v>277</v>
      </c>
      <c r="C11" s="3" t="s">
        <v>258</v>
      </c>
      <c r="D11" s="3" t="s">
        <v>270</v>
      </c>
      <c r="E11" s="14" t="s">
        <v>271</v>
      </c>
    </row>
    <row r="12" spans="1:26" ht="18" customHeight="1" x14ac:dyDescent="0.25">
      <c r="A12" s="13" t="s">
        <v>75</v>
      </c>
      <c r="B12" s="3" t="s">
        <v>278</v>
      </c>
      <c r="C12" s="3" t="s">
        <v>254</v>
      </c>
      <c r="D12" s="3" t="s">
        <v>279</v>
      </c>
      <c r="E12" s="14" t="s">
        <v>280</v>
      </c>
    </row>
    <row r="13" spans="1:26" ht="18" customHeight="1" x14ac:dyDescent="0.25">
      <c r="A13" s="13" t="s">
        <v>281</v>
      </c>
      <c r="B13" s="3" t="s">
        <v>253</v>
      </c>
      <c r="C13" s="3" t="s">
        <v>282</v>
      </c>
      <c r="D13" s="3" t="s">
        <v>283</v>
      </c>
      <c r="E13" s="14" t="s">
        <v>284</v>
      </c>
    </row>
    <row r="14" spans="1:26" ht="18" customHeight="1" x14ac:dyDescent="0.25">
      <c r="A14" s="13" t="s">
        <v>52</v>
      </c>
      <c r="B14" s="3" t="s">
        <v>268</v>
      </c>
      <c r="C14" s="3" t="s">
        <v>258</v>
      </c>
      <c r="D14" s="3" t="s">
        <v>259</v>
      </c>
      <c r="E14" s="14" t="s">
        <v>260</v>
      </c>
    </row>
    <row r="15" spans="1:26" ht="18" customHeight="1" x14ac:dyDescent="0.25">
      <c r="A15" s="13" t="s">
        <v>101</v>
      </c>
      <c r="B15" s="3" t="s">
        <v>273</v>
      </c>
      <c r="C15" s="3" t="s">
        <v>282</v>
      </c>
      <c r="D15" s="3" t="s">
        <v>270</v>
      </c>
      <c r="E15" s="14" t="s">
        <v>271</v>
      </c>
    </row>
    <row r="16" spans="1:26" ht="18" customHeight="1" x14ac:dyDescent="0.25">
      <c r="A16" s="13" t="s">
        <v>174</v>
      </c>
      <c r="B16" s="3" t="s">
        <v>285</v>
      </c>
      <c r="C16" s="3" t="s">
        <v>282</v>
      </c>
      <c r="D16" s="3" t="s">
        <v>283</v>
      </c>
      <c r="E16" s="14" t="s">
        <v>284</v>
      </c>
    </row>
    <row r="17" spans="1:5" ht="18" customHeight="1" x14ac:dyDescent="0.25">
      <c r="A17" s="13" t="s">
        <v>85</v>
      </c>
      <c r="B17" s="3" t="s">
        <v>286</v>
      </c>
      <c r="C17" s="3" t="s">
        <v>258</v>
      </c>
      <c r="D17" s="3" t="s">
        <v>283</v>
      </c>
      <c r="E17" s="14" t="s">
        <v>284</v>
      </c>
    </row>
    <row r="18" spans="1:5" ht="18" customHeight="1" x14ac:dyDescent="0.25">
      <c r="A18" s="13" t="s">
        <v>139</v>
      </c>
      <c r="B18" s="3" t="s">
        <v>287</v>
      </c>
      <c r="C18" s="3" t="s">
        <v>254</v>
      </c>
      <c r="D18" s="3" t="s">
        <v>262</v>
      </c>
      <c r="E18" s="14" t="s">
        <v>263</v>
      </c>
    </row>
    <row r="19" spans="1:5" ht="18" customHeight="1" x14ac:dyDescent="0.25">
      <c r="A19" s="13" t="s">
        <v>94</v>
      </c>
      <c r="B19" s="3" t="s">
        <v>288</v>
      </c>
      <c r="C19" s="3" t="s">
        <v>282</v>
      </c>
      <c r="D19" s="3" t="s">
        <v>279</v>
      </c>
      <c r="E19" s="14" t="s">
        <v>280</v>
      </c>
    </row>
    <row r="20" spans="1:5" ht="18" customHeight="1" x14ac:dyDescent="0.25">
      <c r="A20" s="13" t="s">
        <v>48</v>
      </c>
      <c r="B20" s="3" t="s">
        <v>269</v>
      </c>
      <c r="C20" s="3" t="s">
        <v>258</v>
      </c>
      <c r="D20" s="3" t="s">
        <v>259</v>
      </c>
      <c r="E20" s="14" t="s">
        <v>260</v>
      </c>
    </row>
    <row r="21" spans="1:5" ht="18" customHeight="1" x14ac:dyDescent="0.25">
      <c r="A21" s="13" t="s">
        <v>289</v>
      </c>
      <c r="B21" s="3" t="s">
        <v>290</v>
      </c>
      <c r="C21" s="3" t="s">
        <v>282</v>
      </c>
      <c r="D21" s="3" t="s">
        <v>270</v>
      </c>
      <c r="E21" s="14" t="s">
        <v>271</v>
      </c>
    </row>
    <row r="22" spans="1:5" ht="18" customHeight="1" x14ac:dyDescent="0.25">
      <c r="A22" s="13" t="s">
        <v>14</v>
      </c>
      <c r="B22" s="3" t="s">
        <v>291</v>
      </c>
      <c r="C22" s="3" t="s">
        <v>282</v>
      </c>
      <c r="D22" s="3" t="s">
        <v>262</v>
      </c>
      <c r="E22" s="14" t="s">
        <v>263</v>
      </c>
    </row>
    <row r="23" spans="1:5" ht="18" customHeight="1" x14ac:dyDescent="0.25">
      <c r="A23" s="13" t="s">
        <v>148</v>
      </c>
      <c r="B23" s="3" t="s">
        <v>286</v>
      </c>
      <c r="C23" s="3" t="s">
        <v>282</v>
      </c>
      <c r="D23" s="3" t="s">
        <v>279</v>
      </c>
      <c r="E23" s="14" t="s">
        <v>280</v>
      </c>
    </row>
    <row r="24" spans="1:5" ht="18" customHeight="1" x14ac:dyDescent="0.25">
      <c r="A24" s="13" t="s">
        <v>63</v>
      </c>
      <c r="B24" s="3" t="s">
        <v>292</v>
      </c>
      <c r="C24" s="3" t="s">
        <v>282</v>
      </c>
      <c r="D24" s="3" t="s">
        <v>262</v>
      </c>
      <c r="E24" s="14" t="s">
        <v>263</v>
      </c>
    </row>
    <row r="25" spans="1:5" ht="18" customHeight="1" x14ac:dyDescent="0.25">
      <c r="A25" s="13" t="s">
        <v>116</v>
      </c>
      <c r="B25" s="3" t="s">
        <v>293</v>
      </c>
      <c r="C25" s="3" t="s">
        <v>254</v>
      </c>
      <c r="D25" s="3" t="s">
        <v>279</v>
      </c>
      <c r="E25" s="14" t="s">
        <v>280</v>
      </c>
    </row>
    <row r="26" spans="1:5" ht="18" customHeight="1" x14ac:dyDescent="0.25">
      <c r="A26" s="13" t="s">
        <v>80</v>
      </c>
      <c r="B26" s="3" t="s">
        <v>287</v>
      </c>
      <c r="C26" s="3" t="s">
        <v>282</v>
      </c>
      <c r="D26" s="3" t="s">
        <v>279</v>
      </c>
      <c r="E26" s="14" t="s">
        <v>280</v>
      </c>
    </row>
    <row r="27" spans="1:5" ht="18" customHeight="1" x14ac:dyDescent="0.25">
      <c r="A27" s="13" t="s">
        <v>131</v>
      </c>
      <c r="B27" s="3" t="s">
        <v>291</v>
      </c>
      <c r="C27" s="3" t="s">
        <v>282</v>
      </c>
      <c r="D27" s="3" t="s">
        <v>259</v>
      </c>
      <c r="E27" s="14" t="s">
        <v>260</v>
      </c>
    </row>
    <row r="28" spans="1:5" ht="18" customHeight="1" x14ac:dyDescent="0.25">
      <c r="A28" s="13" t="s">
        <v>36</v>
      </c>
      <c r="B28" s="3" t="s">
        <v>294</v>
      </c>
      <c r="C28" s="3" t="s">
        <v>282</v>
      </c>
      <c r="D28" s="3" t="s">
        <v>259</v>
      </c>
      <c r="E28" s="14" t="s">
        <v>260</v>
      </c>
    </row>
    <row r="29" spans="1:5" ht="18" customHeight="1" x14ac:dyDescent="0.25">
      <c r="A29" s="13" t="s">
        <v>87</v>
      </c>
      <c r="B29" s="3" t="s">
        <v>295</v>
      </c>
      <c r="C29" s="3" t="s">
        <v>254</v>
      </c>
      <c r="D29" s="3" t="s">
        <v>262</v>
      </c>
      <c r="E29" s="14" t="s">
        <v>263</v>
      </c>
    </row>
    <row r="30" spans="1:5" ht="18" customHeight="1" x14ac:dyDescent="0.25">
      <c r="A30" s="13" t="s">
        <v>21</v>
      </c>
      <c r="B30" s="3" t="s">
        <v>285</v>
      </c>
      <c r="C30" s="3" t="s">
        <v>282</v>
      </c>
      <c r="D30" s="3" t="s">
        <v>279</v>
      </c>
      <c r="E30" s="14" t="s">
        <v>280</v>
      </c>
    </row>
    <row r="31" spans="1:5" ht="18" customHeight="1" x14ac:dyDescent="0.25">
      <c r="A31" s="13" t="s">
        <v>296</v>
      </c>
      <c r="B31" s="3" t="s">
        <v>287</v>
      </c>
      <c r="C31" s="3" t="s">
        <v>282</v>
      </c>
      <c r="D31" s="3" t="s">
        <v>259</v>
      </c>
      <c r="E31" s="14" t="s">
        <v>260</v>
      </c>
    </row>
    <row r="32" spans="1:5" ht="18" customHeight="1" x14ac:dyDescent="0.25">
      <c r="A32" s="13" t="s">
        <v>183</v>
      </c>
      <c r="B32" s="3" t="s">
        <v>297</v>
      </c>
      <c r="C32" s="3" t="s">
        <v>254</v>
      </c>
      <c r="D32" s="3" t="s">
        <v>259</v>
      </c>
      <c r="E32" s="14" t="s">
        <v>260</v>
      </c>
    </row>
    <row r="33" spans="1:5" ht="18" customHeight="1" x14ac:dyDescent="0.25">
      <c r="A33" s="13" t="s">
        <v>108</v>
      </c>
      <c r="B33" s="3" t="s">
        <v>298</v>
      </c>
      <c r="C33" s="3" t="s">
        <v>254</v>
      </c>
      <c r="D33" s="3" t="s">
        <v>262</v>
      </c>
      <c r="E33" s="14" t="s">
        <v>263</v>
      </c>
    </row>
    <row r="34" spans="1:5" ht="18" customHeight="1" x14ac:dyDescent="0.25">
      <c r="A34" s="13" t="s">
        <v>66</v>
      </c>
      <c r="B34" s="3" t="s">
        <v>299</v>
      </c>
      <c r="C34" s="3" t="s">
        <v>254</v>
      </c>
      <c r="D34" s="3" t="s">
        <v>283</v>
      </c>
      <c r="E34" s="14" t="s">
        <v>284</v>
      </c>
    </row>
    <row r="35" spans="1:5" ht="18" customHeight="1" x14ac:dyDescent="0.25">
      <c r="A35" s="13" t="s">
        <v>193</v>
      </c>
      <c r="B35" s="3" t="s">
        <v>300</v>
      </c>
      <c r="C35" s="3" t="s">
        <v>282</v>
      </c>
      <c r="D35" s="3" t="s">
        <v>283</v>
      </c>
      <c r="E35" s="14" t="s">
        <v>284</v>
      </c>
    </row>
    <row r="36" spans="1:5" ht="18" customHeight="1" x14ac:dyDescent="0.25">
      <c r="A36" s="13" t="s">
        <v>146</v>
      </c>
      <c r="B36" s="3" t="s">
        <v>301</v>
      </c>
      <c r="C36" s="3" t="s">
        <v>254</v>
      </c>
      <c r="D36" s="3" t="s">
        <v>279</v>
      </c>
      <c r="E36" s="14" t="s">
        <v>280</v>
      </c>
    </row>
    <row r="37" spans="1:5" ht="18" customHeight="1" x14ac:dyDescent="0.25">
      <c r="A37" s="13" t="s">
        <v>186</v>
      </c>
      <c r="B37" s="3" t="s">
        <v>261</v>
      </c>
      <c r="C37" s="3" t="s">
        <v>254</v>
      </c>
      <c r="D37" s="3" t="s">
        <v>270</v>
      </c>
      <c r="E37" s="14" t="s">
        <v>271</v>
      </c>
    </row>
    <row r="38" spans="1:5" ht="18" customHeight="1" x14ac:dyDescent="0.25">
      <c r="A38" s="13" t="s">
        <v>103</v>
      </c>
      <c r="B38" s="3" t="s">
        <v>257</v>
      </c>
      <c r="C38" s="3" t="s">
        <v>282</v>
      </c>
      <c r="D38" s="3" t="s">
        <v>279</v>
      </c>
      <c r="E38" s="14" t="s">
        <v>280</v>
      </c>
    </row>
    <row r="39" spans="1:5" ht="18" customHeight="1" x14ac:dyDescent="0.25">
      <c r="A39" s="13" t="s">
        <v>302</v>
      </c>
      <c r="B39" s="3" t="s">
        <v>303</v>
      </c>
      <c r="C39" s="3" t="s">
        <v>254</v>
      </c>
      <c r="D39" s="3" t="s">
        <v>262</v>
      </c>
      <c r="E39" s="14" t="s">
        <v>263</v>
      </c>
    </row>
    <row r="40" spans="1:5" ht="18" customHeight="1" x14ac:dyDescent="0.25">
      <c r="A40" s="13" t="s">
        <v>127</v>
      </c>
      <c r="B40" s="3" t="s">
        <v>304</v>
      </c>
      <c r="C40" s="3" t="s">
        <v>282</v>
      </c>
      <c r="D40" s="3" t="s">
        <v>262</v>
      </c>
      <c r="E40" s="14" t="s">
        <v>263</v>
      </c>
    </row>
    <row r="41" spans="1:5" ht="18" customHeight="1" x14ac:dyDescent="0.25">
      <c r="A41" s="13" t="s">
        <v>89</v>
      </c>
      <c r="B41" s="3" t="s">
        <v>305</v>
      </c>
      <c r="C41" s="3" t="s">
        <v>258</v>
      </c>
      <c r="D41" s="3" t="s">
        <v>262</v>
      </c>
      <c r="E41" s="14" t="s">
        <v>263</v>
      </c>
    </row>
    <row r="42" spans="1:5" ht="18" customHeight="1" x14ac:dyDescent="0.25">
      <c r="A42" s="13" t="s">
        <v>78</v>
      </c>
      <c r="B42" s="3" t="s">
        <v>306</v>
      </c>
      <c r="C42" s="3" t="s">
        <v>254</v>
      </c>
      <c r="D42" s="3" t="s">
        <v>262</v>
      </c>
      <c r="E42" s="14" t="s">
        <v>263</v>
      </c>
    </row>
    <row r="43" spans="1:5" ht="18" customHeight="1" x14ac:dyDescent="0.25">
      <c r="A43" s="13" t="s">
        <v>43</v>
      </c>
      <c r="B43" s="3" t="s">
        <v>264</v>
      </c>
      <c r="C43" s="3" t="s">
        <v>258</v>
      </c>
      <c r="D43" s="3" t="s">
        <v>262</v>
      </c>
      <c r="E43" s="14" t="s">
        <v>263</v>
      </c>
    </row>
    <row r="44" spans="1:5" ht="18" customHeight="1" x14ac:dyDescent="0.25">
      <c r="A44" s="13" t="s">
        <v>178</v>
      </c>
      <c r="B44" s="3" t="s">
        <v>307</v>
      </c>
      <c r="C44" s="3" t="s">
        <v>282</v>
      </c>
      <c r="D44" s="3" t="s">
        <v>259</v>
      </c>
      <c r="E44" s="14" t="s">
        <v>260</v>
      </c>
    </row>
    <row r="45" spans="1:5" ht="18" customHeight="1" x14ac:dyDescent="0.25">
      <c r="A45" s="13" t="s">
        <v>32</v>
      </c>
      <c r="B45" s="3" t="s">
        <v>308</v>
      </c>
      <c r="C45" s="3" t="s">
        <v>254</v>
      </c>
      <c r="D45" s="3" t="s">
        <v>283</v>
      </c>
      <c r="E45" s="14" t="s">
        <v>284</v>
      </c>
    </row>
    <row r="46" spans="1:5" ht="18" customHeight="1" x14ac:dyDescent="0.25">
      <c r="A46" s="13" t="s">
        <v>60</v>
      </c>
      <c r="B46" s="3" t="s">
        <v>257</v>
      </c>
      <c r="C46" s="3" t="s">
        <v>282</v>
      </c>
      <c r="D46" s="3" t="s">
        <v>262</v>
      </c>
      <c r="E46" s="14" t="s">
        <v>263</v>
      </c>
    </row>
    <row r="47" spans="1:5" ht="18" customHeight="1" x14ac:dyDescent="0.25">
      <c r="A47" s="13" t="s">
        <v>57</v>
      </c>
      <c r="B47" s="3" t="s">
        <v>257</v>
      </c>
      <c r="C47" s="3" t="s">
        <v>258</v>
      </c>
      <c r="D47" s="3" t="s">
        <v>270</v>
      </c>
      <c r="E47" s="14" t="s">
        <v>271</v>
      </c>
    </row>
    <row r="48" spans="1:5" ht="18" customHeight="1" x14ac:dyDescent="0.25">
      <c r="A48" s="13" t="s">
        <v>71</v>
      </c>
      <c r="B48" s="3" t="s">
        <v>293</v>
      </c>
      <c r="C48" s="3" t="s">
        <v>282</v>
      </c>
      <c r="D48" s="3" t="s">
        <v>270</v>
      </c>
      <c r="E48" s="14" t="s">
        <v>271</v>
      </c>
    </row>
    <row r="49" spans="1:5" ht="18" customHeight="1" x14ac:dyDescent="0.25">
      <c r="A49" s="13" t="s">
        <v>152</v>
      </c>
      <c r="B49" s="3" t="s">
        <v>264</v>
      </c>
      <c r="C49" s="3" t="s">
        <v>254</v>
      </c>
      <c r="D49" s="3" t="s">
        <v>270</v>
      </c>
      <c r="E49" s="14" t="s">
        <v>271</v>
      </c>
    </row>
    <row r="50" spans="1:5" ht="18" customHeight="1" x14ac:dyDescent="0.25">
      <c r="A50" s="19" t="s">
        <v>309</v>
      </c>
      <c r="B50" s="20" t="s">
        <v>310</v>
      </c>
      <c r="C50" s="20" t="s">
        <v>254</v>
      </c>
      <c r="D50" s="20" t="s">
        <v>270</v>
      </c>
      <c r="E50" s="22" t="s">
        <v>271</v>
      </c>
    </row>
    <row r="51" spans="1:5" ht="14.25" customHeight="1" x14ac:dyDescent="0.25"/>
    <row r="52" spans="1:5" ht="14.25" customHeight="1" x14ac:dyDescent="0.25"/>
    <row r="53" spans="1:5" ht="14.25" customHeight="1" x14ac:dyDescent="0.25"/>
    <row r="54" spans="1:5" ht="14.25" customHeight="1" x14ac:dyDescent="0.25"/>
    <row r="55" spans="1:5" ht="14.25" customHeight="1" x14ac:dyDescent="0.25"/>
    <row r="56" spans="1:5" ht="14.25" customHeight="1" x14ac:dyDescent="0.25"/>
    <row r="57" spans="1:5" ht="14.25" customHeight="1" x14ac:dyDescent="0.25"/>
    <row r="58" spans="1:5" ht="14.25" customHeight="1" x14ac:dyDescent="0.25"/>
    <row r="59" spans="1:5" ht="14.25" customHeight="1" x14ac:dyDescent="0.25"/>
    <row r="60" spans="1:5" ht="14.25" customHeight="1" x14ac:dyDescent="0.25"/>
    <row r="61" spans="1:5" ht="14.25" customHeight="1" x14ac:dyDescent="0.25"/>
    <row r="62" spans="1:5" ht="14.25" customHeight="1" x14ac:dyDescent="0.25"/>
    <row r="63" spans="1:5" ht="14.25" customHeight="1" x14ac:dyDescent="0.25"/>
    <row r="64" spans="1:5"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G27" sqref="G27"/>
    </sheetView>
  </sheetViews>
  <sheetFormatPr defaultColWidth="14.42578125" defaultRowHeight="15" customHeight="1" x14ac:dyDescent="0.25"/>
  <cols>
    <col min="1" max="1" width="12.28515625" customWidth="1"/>
    <col min="2" max="2" width="17.5703125" customWidth="1"/>
    <col min="3" max="3" width="11.28515625" customWidth="1"/>
    <col min="4" max="4" width="21.7109375" customWidth="1"/>
    <col min="5" max="5" width="48" customWidth="1"/>
    <col min="6" max="26" width="8.7109375" customWidth="1"/>
  </cols>
  <sheetData>
    <row r="1" spans="1:5" ht="18" customHeight="1" x14ac:dyDescent="0.25">
      <c r="A1" s="15" t="s">
        <v>5</v>
      </c>
      <c r="B1" s="16" t="s">
        <v>195</v>
      </c>
      <c r="C1" s="16" t="s">
        <v>196</v>
      </c>
      <c r="D1" s="17" t="s">
        <v>197</v>
      </c>
      <c r="E1" s="18" t="s">
        <v>198</v>
      </c>
    </row>
    <row r="2" spans="1:5" ht="18" customHeight="1" x14ac:dyDescent="0.25">
      <c r="A2" s="13" t="s">
        <v>81</v>
      </c>
      <c r="B2" s="3" t="s">
        <v>199</v>
      </c>
      <c r="C2" s="3" t="s">
        <v>200</v>
      </c>
      <c r="D2" s="4">
        <v>749</v>
      </c>
      <c r="E2" s="14" t="s">
        <v>201</v>
      </c>
    </row>
    <row r="3" spans="1:5" ht="18" customHeight="1" x14ac:dyDescent="0.25">
      <c r="A3" s="13" t="s">
        <v>90</v>
      </c>
      <c r="B3" s="3" t="s">
        <v>202</v>
      </c>
      <c r="C3" s="3" t="s">
        <v>203</v>
      </c>
      <c r="D3" s="4">
        <v>39</v>
      </c>
      <c r="E3" s="14" t="s">
        <v>204</v>
      </c>
    </row>
    <row r="4" spans="1:5" ht="18" customHeight="1" x14ac:dyDescent="0.25">
      <c r="A4" s="13" t="s">
        <v>55</v>
      </c>
      <c r="B4" s="3" t="s">
        <v>205</v>
      </c>
      <c r="C4" s="3" t="s">
        <v>206</v>
      </c>
      <c r="D4" s="4">
        <v>129</v>
      </c>
      <c r="E4" s="14" t="s">
        <v>207</v>
      </c>
    </row>
    <row r="5" spans="1:5" ht="18" customHeight="1" x14ac:dyDescent="0.25">
      <c r="A5" s="13" t="s">
        <v>119</v>
      </c>
      <c r="B5" s="3" t="s">
        <v>208</v>
      </c>
      <c r="C5" s="3" t="s">
        <v>203</v>
      </c>
      <c r="D5" s="4">
        <v>59</v>
      </c>
      <c r="E5" s="14" t="s">
        <v>209</v>
      </c>
    </row>
    <row r="6" spans="1:5" ht="18" customHeight="1" x14ac:dyDescent="0.25">
      <c r="A6" s="13" t="s">
        <v>69</v>
      </c>
      <c r="B6" s="3" t="s">
        <v>210</v>
      </c>
      <c r="C6" s="3" t="s">
        <v>211</v>
      </c>
      <c r="D6" s="4">
        <v>25</v>
      </c>
      <c r="E6" s="14" t="s">
        <v>212</v>
      </c>
    </row>
    <row r="7" spans="1:5" ht="18" customHeight="1" x14ac:dyDescent="0.25">
      <c r="A7" s="13" t="s">
        <v>64</v>
      </c>
      <c r="B7" s="3" t="s">
        <v>213</v>
      </c>
      <c r="C7" s="3" t="s">
        <v>211</v>
      </c>
      <c r="D7" s="4">
        <v>89</v>
      </c>
      <c r="E7" s="14" t="s">
        <v>214</v>
      </c>
    </row>
    <row r="8" spans="1:5" ht="18" customHeight="1" x14ac:dyDescent="0.25">
      <c r="A8" s="13" t="s">
        <v>114</v>
      </c>
      <c r="B8" s="3" t="s">
        <v>215</v>
      </c>
      <c r="C8" s="3" t="s">
        <v>203</v>
      </c>
      <c r="D8" s="4">
        <v>29</v>
      </c>
      <c r="E8" s="14" t="s">
        <v>216</v>
      </c>
    </row>
    <row r="9" spans="1:5" ht="18" customHeight="1" x14ac:dyDescent="0.25">
      <c r="A9" s="13" t="s">
        <v>76</v>
      </c>
      <c r="B9" s="3" t="s">
        <v>217</v>
      </c>
      <c r="C9" s="3" t="s">
        <v>218</v>
      </c>
      <c r="D9" s="4">
        <v>65</v>
      </c>
      <c r="E9" s="14" t="s">
        <v>219</v>
      </c>
    </row>
    <row r="10" spans="1:5" ht="18" customHeight="1" x14ac:dyDescent="0.25">
      <c r="A10" s="13" t="s">
        <v>104</v>
      </c>
      <c r="B10" s="3" t="s">
        <v>220</v>
      </c>
      <c r="C10" s="3" t="s">
        <v>218</v>
      </c>
      <c r="D10" s="4">
        <v>10</v>
      </c>
      <c r="E10" s="14" t="s">
        <v>221</v>
      </c>
    </row>
    <row r="11" spans="1:5" ht="18" customHeight="1" x14ac:dyDescent="0.25">
      <c r="A11" s="13" t="s">
        <v>37</v>
      </c>
      <c r="B11" s="3" t="s">
        <v>222</v>
      </c>
      <c r="C11" s="3" t="s">
        <v>211</v>
      </c>
      <c r="D11" s="4">
        <v>55</v>
      </c>
      <c r="E11" s="14" t="s">
        <v>223</v>
      </c>
    </row>
    <row r="12" spans="1:5" ht="18" customHeight="1" x14ac:dyDescent="0.25">
      <c r="A12" s="13" t="s">
        <v>109</v>
      </c>
      <c r="B12" s="3" t="s">
        <v>224</v>
      </c>
      <c r="C12" s="3" t="s">
        <v>200</v>
      </c>
      <c r="D12" s="4">
        <v>159</v>
      </c>
      <c r="E12" s="14" t="s">
        <v>225</v>
      </c>
    </row>
    <row r="13" spans="1:5" ht="18" customHeight="1" x14ac:dyDescent="0.25">
      <c r="A13" s="13" t="s">
        <v>15</v>
      </c>
      <c r="B13" s="3" t="s">
        <v>226</v>
      </c>
      <c r="C13" s="3" t="s">
        <v>206</v>
      </c>
      <c r="D13" s="4">
        <v>42</v>
      </c>
      <c r="E13" s="14" t="s">
        <v>227</v>
      </c>
    </row>
    <row r="14" spans="1:5" ht="18" customHeight="1" x14ac:dyDescent="0.25">
      <c r="A14" s="13" t="s">
        <v>27</v>
      </c>
      <c r="B14" s="3" t="s">
        <v>228</v>
      </c>
      <c r="C14" s="3" t="s">
        <v>206</v>
      </c>
      <c r="D14" s="4">
        <v>185</v>
      </c>
      <c r="E14" s="14" t="s">
        <v>229</v>
      </c>
    </row>
    <row r="15" spans="1:5" ht="18" customHeight="1" x14ac:dyDescent="0.25">
      <c r="A15" s="13" t="s">
        <v>58</v>
      </c>
      <c r="B15" s="3" t="s">
        <v>230</v>
      </c>
      <c r="C15" s="3" t="s">
        <v>200</v>
      </c>
      <c r="D15" s="4">
        <v>229</v>
      </c>
      <c r="E15" s="14" t="s">
        <v>231</v>
      </c>
    </row>
    <row r="16" spans="1:5" ht="18" customHeight="1" x14ac:dyDescent="0.25">
      <c r="A16" s="13" t="s">
        <v>73</v>
      </c>
      <c r="B16" s="3" t="s">
        <v>232</v>
      </c>
      <c r="C16" s="3" t="s">
        <v>218</v>
      </c>
      <c r="D16" s="4">
        <v>20</v>
      </c>
      <c r="E16" s="14" t="s">
        <v>233</v>
      </c>
    </row>
    <row r="17" spans="1:5" ht="18" customHeight="1" x14ac:dyDescent="0.25">
      <c r="A17" s="13" t="s">
        <v>111</v>
      </c>
      <c r="B17" s="3" t="s">
        <v>234</v>
      </c>
      <c r="C17" s="3" t="s">
        <v>206</v>
      </c>
      <c r="D17" s="4">
        <v>199</v>
      </c>
      <c r="E17" s="14" t="s">
        <v>235</v>
      </c>
    </row>
    <row r="18" spans="1:5" ht="18" customHeight="1" x14ac:dyDescent="0.25">
      <c r="A18" s="13" t="s">
        <v>67</v>
      </c>
      <c r="B18" s="3" t="s">
        <v>236</v>
      </c>
      <c r="C18" s="3" t="s">
        <v>200</v>
      </c>
      <c r="D18" s="4">
        <v>69</v>
      </c>
      <c r="E18" s="14" t="s">
        <v>237</v>
      </c>
    </row>
    <row r="19" spans="1:5" ht="18" customHeight="1" x14ac:dyDescent="0.25">
      <c r="A19" s="13" t="s">
        <v>22</v>
      </c>
      <c r="B19" s="3" t="s">
        <v>238</v>
      </c>
      <c r="C19" s="3" t="s">
        <v>203</v>
      </c>
      <c r="D19" s="4">
        <v>89</v>
      </c>
      <c r="E19" s="14" t="s">
        <v>239</v>
      </c>
    </row>
    <row r="20" spans="1:5" ht="18" customHeight="1" x14ac:dyDescent="0.25">
      <c r="A20" s="13" t="s">
        <v>53</v>
      </c>
      <c r="B20" s="3" t="s">
        <v>240</v>
      </c>
      <c r="C20" s="3" t="s">
        <v>211</v>
      </c>
      <c r="D20" s="4">
        <v>40</v>
      </c>
      <c r="E20" s="14" t="s">
        <v>241</v>
      </c>
    </row>
    <row r="21" spans="1:5" ht="18" customHeight="1" x14ac:dyDescent="0.25">
      <c r="A21" s="13" t="s">
        <v>44</v>
      </c>
      <c r="B21" s="3" t="s">
        <v>242</v>
      </c>
      <c r="C21" s="3" t="s">
        <v>200</v>
      </c>
      <c r="D21" s="4">
        <v>99</v>
      </c>
      <c r="E21" s="14" t="s">
        <v>243</v>
      </c>
    </row>
    <row r="22" spans="1:5" ht="18" customHeight="1" x14ac:dyDescent="0.25">
      <c r="A22" s="13" t="s">
        <v>49</v>
      </c>
      <c r="B22" s="3" t="s">
        <v>244</v>
      </c>
      <c r="C22" s="3" t="s">
        <v>206</v>
      </c>
      <c r="D22" s="4">
        <v>34</v>
      </c>
      <c r="E22" s="14" t="s">
        <v>245</v>
      </c>
    </row>
    <row r="23" spans="1:5" ht="18" customHeight="1" x14ac:dyDescent="0.25">
      <c r="A23" s="19" t="s">
        <v>92</v>
      </c>
      <c r="B23" s="20" t="s">
        <v>246</v>
      </c>
      <c r="C23" s="20" t="s">
        <v>211</v>
      </c>
      <c r="D23" s="21">
        <v>60</v>
      </c>
      <c r="E23" s="22" t="s">
        <v>247</v>
      </c>
    </row>
    <row r="24" spans="1:5" ht="14.25" customHeight="1" x14ac:dyDescent="0.25">
      <c r="A24" s="1"/>
      <c r="B24" s="1"/>
      <c r="C24" s="1"/>
      <c r="D24" s="2"/>
      <c r="E24" s="1"/>
    </row>
    <row r="25" spans="1:5" ht="14.25" customHeight="1" x14ac:dyDescent="0.25">
      <c r="A25" s="1"/>
      <c r="B25" s="1"/>
      <c r="C25" s="1"/>
      <c r="D25" s="2"/>
      <c r="E25" s="1"/>
    </row>
    <row r="26" spans="1:5" ht="14.25" customHeight="1" x14ac:dyDescent="0.25">
      <c r="A26" s="1"/>
      <c r="B26" s="1"/>
      <c r="C26" s="1"/>
      <c r="D26" s="2"/>
      <c r="E26" s="1"/>
    </row>
    <row r="27" spans="1:5" ht="14.25" customHeight="1" x14ac:dyDescent="0.25">
      <c r="A27" s="1"/>
      <c r="B27" s="1"/>
      <c r="C27" s="1"/>
      <c r="D27" s="2"/>
      <c r="E27" s="1"/>
    </row>
    <row r="28" spans="1:5" ht="14.25" customHeight="1" x14ac:dyDescent="0.25">
      <c r="A28" s="1"/>
      <c r="B28" s="1"/>
      <c r="C28" s="1"/>
      <c r="D28" s="2"/>
      <c r="E28" s="1"/>
    </row>
    <row r="29" spans="1:5" ht="14.25" customHeight="1" x14ac:dyDescent="0.25">
      <c r="A29" s="1"/>
      <c r="B29" s="1"/>
      <c r="C29" s="1"/>
      <c r="D29" s="2"/>
      <c r="E29" s="1"/>
    </row>
    <row r="30" spans="1:5" ht="14.25" customHeight="1" x14ac:dyDescent="0.25">
      <c r="A30" s="1"/>
      <c r="B30" s="1"/>
      <c r="C30" s="1"/>
      <c r="D30" s="2"/>
      <c r="E30" s="1"/>
    </row>
    <row r="31" spans="1:5" ht="14.25" customHeight="1" x14ac:dyDescent="0.25">
      <c r="A31" s="1"/>
      <c r="B31" s="1"/>
      <c r="C31" s="1"/>
      <c r="D31" s="2"/>
      <c r="E31" s="1"/>
    </row>
    <row r="32" spans="1:5" ht="14.25" customHeight="1" x14ac:dyDescent="0.25">
      <c r="A32" s="1"/>
      <c r="B32" s="1"/>
      <c r="C32" s="1"/>
      <c r="D32" s="2"/>
      <c r="E32" s="1"/>
    </row>
    <row r="33" spans="1:5" ht="14.25" customHeight="1" x14ac:dyDescent="0.25">
      <c r="A33" s="1"/>
      <c r="B33" s="1"/>
      <c r="C33" s="1"/>
      <c r="D33" s="2"/>
      <c r="E33" s="1"/>
    </row>
    <row r="34" spans="1:5" ht="14.25" customHeight="1" x14ac:dyDescent="0.25">
      <c r="A34" s="1"/>
      <c r="B34" s="1"/>
      <c r="C34" s="1"/>
      <c r="D34" s="2"/>
      <c r="E34" s="1"/>
    </row>
    <row r="35" spans="1:5" ht="14.25" customHeight="1" x14ac:dyDescent="0.25">
      <c r="A35" s="1"/>
      <c r="B35" s="1"/>
      <c r="C35" s="1"/>
      <c r="D35" s="2"/>
      <c r="E35" s="1"/>
    </row>
    <row r="36" spans="1:5" ht="14.25" customHeight="1" x14ac:dyDescent="0.25">
      <c r="A36" s="1"/>
      <c r="B36" s="1"/>
      <c r="C36" s="1"/>
      <c r="D36" s="2"/>
      <c r="E36" s="1"/>
    </row>
    <row r="37" spans="1:5" ht="14.25" customHeight="1" x14ac:dyDescent="0.25">
      <c r="A37" s="1"/>
      <c r="B37" s="1"/>
      <c r="C37" s="1"/>
      <c r="D37" s="2"/>
      <c r="E37" s="1"/>
    </row>
    <row r="38" spans="1:5" ht="14.25" customHeight="1" x14ac:dyDescent="0.25">
      <c r="A38" s="1"/>
      <c r="B38" s="1"/>
      <c r="C38" s="1"/>
      <c r="D38" s="2"/>
      <c r="E38" s="1"/>
    </row>
    <row r="39" spans="1:5" ht="14.25" customHeight="1" x14ac:dyDescent="0.25">
      <c r="A39" s="1"/>
      <c r="B39" s="1"/>
      <c r="C39" s="1"/>
      <c r="D39" s="2"/>
      <c r="E39" s="1"/>
    </row>
    <row r="40" spans="1:5" ht="14.25" customHeight="1" x14ac:dyDescent="0.25">
      <c r="A40" s="1"/>
      <c r="B40" s="1"/>
      <c r="C40" s="1"/>
      <c r="D40" s="2"/>
      <c r="E40" s="1"/>
    </row>
    <row r="41" spans="1:5" ht="14.25" customHeight="1" x14ac:dyDescent="0.25">
      <c r="A41" s="1"/>
      <c r="B41" s="1"/>
      <c r="C41" s="1"/>
      <c r="D41" s="2"/>
      <c r="E41" s="1"/>
    </row>
    <row r="42" spans="1:5" ht="14.25" customHeight="1" x14ac:dyDescent="0.25">
      <c r="A42" s="1"/>
      <c r="B42" s="1"/>
      <c r="C42" s="1"/>
      <c r="D42" s="2"/>
      <c r="E42" s="1"/>
    </row>
    <row r="43" spans="1:5" ht="14.25" customHeight="1" x14ac:dyDescent="0.25">
      <c r="A43" s="1"/>
      <c r="B43" s="1"/>
      <c r="C43" s="1"/>
      <c r="D43" s="2"/>
      <c r="E43" s="1"/>
    </row>
    <row r="44" spans="1:5" ht="14.25" customHeight="1" x14ac:dyDescent="0.25">
      <c r="A44" s="1"/>
      <c r="B44" s="1"/>
      <c r="C44" s="1"/>
      <c r="D44" s="2"/>
      <c r="E44" s="1"/>
    </row>
    <row r="45" spans="1:5" ht="14.25" customHeight="1" x14ac:dyDescent="0.25">
      <c r="A45" s="1"/>
      <c r="B45" s="1"/>
      <c r="C45" s="1"/>
      <c r="D45" s="2"/>
      <c r="E45" s="1"/>
    </row>
    <row r="46" spans="1:5" ht="14.25" customHeight="1" x14ac:dyDescent="0.25">
      <c r="A46" s="1"/>
      <c r="B46" s="1"/>
      <c r="C46" s="1"/>
      <c r="D46" s="2"/>
      <c r="E46" s="1"/>
    </row>
    <row r="47" spans="1:5" ht="14.25" customHeight="1" x14ac:dyDescent="0.25">
      <c r="A47" s="1"/>
      <c r="B47" s="1"/>
      <c r="C47" s="1"/>
      <c r="D47" s="2"/>
      <c r="E47" s="1"/>
    </row>
    <row r="48" spans="1:5" ht="14.25" customHeight="1" x14ac:dyDescent="0.25">
      <c r="A48" s="1"/>
      <c r="B48" s="1"/>
      <c r="C48" s="1"/>
      <c r="D48" s="2"/>
      <c r="E48" s="1"/>
    </row>
    <row r="49" spans="1:5" ht="14.25" customHeight="1" x14ac:dyDescent="0.25">
      <c r="A49" s="1"/>
      <c r="B49" s="1"/>
      <c r="C49" s="1"/>
      <c r="D49" s="2"/>
      <c r="E49" s="1"/>
    </row>
    <row r="50" spans="1:5" ht="14.25" customHeight="1" x14ac:dyDescent="0.25">
      <c r="A50" s="1"/>
      <c r="B50" s="1"/>
      <c r="C50" s="1"/>
      <c r="D50" s="2"/>
      <c r="E50" s="1"/>
    </row>
    <row r="51" spans="1:5" ht="14.25" customHeight="1" x14ac:dyDescent="0.25">
      <c r="A51" s="1"/>
      <c r="B51" s="1"/>
      <c r="C51" s="1"/>
      <c r="D51" s="2"/>
      <c r="E51" s="1"/>
    </row>
    <row r="52" spans="1:5" ht="14.25" customHeight="1" x14ac:dyDescent="0.25">
      <c r="A52" s="1"/>
      <c r="B52" s="1"/>
      <c r="C52" s="1"/>
      <c r="D52" s="2"/>
      <c r="E52" s="1"/>
    </row>
    <row r="53" spans="1:5" ht="14.25" customHeight="1" x14ac:dyDescent="0.25">
      <c r="A53" s="1"/>
      <c r="B53" s="1"/>
      <c r="C53" s="1"/>
      <c r="D53" s="2"/>
      <c r="E53" s="1"/>
    </row>
    <row r="54" spans="1:5" ht="14.25" customHeight="1" x14ac:dyDescent="0.25">
      <c r="A54" s="1"/>
      <c r="B54" s="1"/>
      <c r="C54" s="1"/>
      <c r="D54" s="2"/>
      <c r="E54" s="1"/>
    </row>
    <row r="55" spans="1:5" ht="14.25" customHeight="1" x14ac:dyDescent="0.25">
      <c r="A55" s="1"/>
      <c r="B55" s="1"/>
      <c r="C55" s="1"/>
      <c r="D55" s="2"/>
      <c r="E55" s="1"/>
    </row>
    <row r="56" spans="1:5" ht="14.25" customHeight="1" x14ac:dyDescent="0.25">
      <c r="A56" s="1"/>
      <c r="B56" s="1"/>
      <c r="C56" s="1"/>
      <c r="D56" s="2"/>
      <c r="E56" s="1"/>
    </row>
    <row r="57" spans="1:5" ht="14.25" customHeight="1" x14ac:dyDescent="0.25">
      <c r="A57" s="1"/>
      <c r="B57" s="1"/>
      <c r="C57" s="1"/>
      <c r="D57" s="2"/>
      <c r="E57" s="1"/>
    </row>
    <row r="58" spans="1:5" ht="14.25" customHeight="1" x14ac:dyDescent="0.25">
      <c r="A58" s="1"/>
      <c r="B58" s="1"/>
      <c r="C58" s="1"/>
      <c r="D58" s="2"/>
      <c r="E58" s="1"/>
    </row>
    <row r="59" spans="1:5" ht="14.25" customHeight="1" x14ac:dyDescent="0.25">
      <c r="A59" s="1"/>
      <c r="B59" s="1"/>
      <c r="C59" s="1"/>
      <c r="D59" s="2"/>
      <c r="E59" s="1"/>
    </row>
    <row r="60" spans="1:5" ht="14.25" customHeight="1" x14ac:dyDescent="0.25">
      <c r="A60" s="1"/>
      <c r="B60" s="1"/>
      <c r="C60" s="1"/>
      <c r="D60" s="2"/>
      <c r="E60" s="1"/>
    </row>
    <row r="61" spans="1:5" ht="14.25" customHeight="1" x14ac:dyDescent="0.25">
      <c r="A61" s="1"/>
      <c r="B61" s="1"/>
      <c r="C61" s="1"/>
      <c r="D61" s="2"/>
      <c r="E61" s="1"/>
    </row>
    <row r="62" spans="1:5" ht="14.25" customHeight="1" x14ac:dyDescent="0.25">
      <c r="A62" s="1"/>
      <c r="B62" s="1"/>
      <c r="C62" s="1"/>
      <c r="D62" s="2"/>
      <c r="E62" s="1"/>
    </row>
    <row r="63" spans="1:5" ht="14.25" customHeight="1" x14ac:dyDescent="0.25">
      <c r="A63" s="1"/>
      <c r="B63" s="1"/>
      <c r="C63" s="1"/>
      <c r="D63" s="2"/>
      <c r="E63" s="1"/>
    </row>
    <row r="64" spans="1:5" ht="14.25" customHeight="1" x14ac:dyDescent="0.25">
      <c r="A64" s="1"/>
      <c r="B64" s="1"/>
      <c r="C64" s="1"/>
      <c r="D64" s="2"/>
      <c r="E64" s="1"/>
    </row>
    <row r="65" spans="1:5" ht="14.25" customHeight="1" x14ac:dyDescent="0.25">
      <c r="A65" s="1"/>
      <c r="B65" s="1"/>
      <c r="C65" s="1"/>
      <c r="D65" s="2"/>
      <c r="E65" s="1"/>
    </row>
    <row r="66" spans="1:5" ht="14.25" customHeight="1" x14ac:dyDescent="0.25">
      <c r="A66" s="1"/>
      <c r="B66" s="1"/>
      <c r="C66" s="1"/>
      <c r="D66" s="2"/>
      <c r="E66" s="1"/>
    </row>
    <row r="67" spans="1:5" ht="14.25" customHeight="1" x14ac:dyDescent="0.25">
      <c r="A67" s="1"/>
      <c r="B67" s="1"/>
      <c r="C67" s="1"/>
      <c r="D67" s="2"/>
      <c r="E67" s="1"/>
    </row>
    <row r="68" spans="1:5" ht="14.25" customHeight="1" x14ac:dyDescent="0.25">
      <c r="A68" s="1"/>
      <c r="B68" s="1"/>
      <c r="C68" s="1"/>
      <c r="D68" s="2"/>
      <c r="E68" s="1"/>
    </row>
    <row r="69" spans="1:5" ht="14.25" customHeight="1" x14ac:dyDescent="0.25">
      <c r="A69" s="1"/>
      <c r="B69" s="1"/>
      <c r="C69" s="1"/>
      <c r="D69" s="2"/>
      <c r="E69" s="1"/>
    </row>
    <row r="70" spans="1:5" ht="14.25" customHeight="1" x14ac:dyDescent="0.25">
      <c r="A70" s="1"/>
      <c r="B70" s="1"/>
      <c r="C70" s="1"/>
      <c r="D70" s="2"/>
      <c r="E70" s="1"/>
    </row>
    <row r="71" spans="1:5" ht="14.25" customHeight="1" x14ac:dyDescent="0.25">
      <c r="A71" s="1"/>
      <c r="B71" s="1"/>
      <c r="C71" s="1"/>
      <c r="D71" s="2"/>
      <c r="E71" s="1"/>
    </row>
    <row r="72" spans="1:5" ht="14.25" customHeight="1" x14ac:dyDescent="0.25">
      <c r="A72" s="1"/>
      <c r="B72" s="1"/>
      <c r="C72" s="1"/>
      <c r="D72" s="2"/>
      <c r="E72" s="1"/>
    </row>
    <row r="73" spans="1:5" ht="14.25" customHeight="1" x14ac:dyDescent="0.25">
      <c r="A73" s="1"/>
      <c r="B73" s="1"/>
      <c r="C73" s="1"/>
      <c r="D73" s="2"/>
      <c r="E73" s="1"/>
    </row>
    <row r="74" spans="1:5" ht="14.25" customHeight="1" x14ac:dyDescent="0.25">
      <c r="A74" s="1"/>
      <c r="B74" s="1"/>
      <c r="C74" s="1"/>
      <c r="D74" s="2"/>
      <c r="E74" s="1"/>
    </row>
    <row r="75" spans="1:5" ht="14.25" customHeight="1" x14ac:dyDescent="0.25">
      <c r="A75" s="1"/>
      <c r="B75" s="1"/>
      <c r="C75" s="1"/>
      <c r="D75" s="2"/>
      <c r="E75" s="1"/>
    </row>
    <row r="76" spans="1:5" ht="14.25" customHeight="1" x14ac:dyDescent="0.25">
      <c r="A76" s="1"/>
      <c r="B76" s="1"/>
      <c r="C76" s="1"/>
      <c r="D76" s="2"/>
      <c r="E76" s="1"/>
    </row>
    <row r="77" spans="1:5" ht="14.25" customHeight="1" x14ac:dyDescent="0.25">
      <c r="A77" s="1"/>
      <c r="B77" s="1"/>
      <c r="C77" s="1"/>
      <c r="D77" s="2"/>
      <c r="E77" s="1"/>
    </row>
    <row r="78" spans="1:5" ht="14.25" customHeight="1" x14ac:dyDescent="0.25">
      <c r="A78" s="1"/>
      <c r="B78" s="1"/>
      <c r="C78" s="1"/>
      <c r="D78" s="2"/>
      <c r="E78" s="1"/>
    </row>
    <row r="79" spans="1:5" ht="14.25" customHeight="1" x14ac:dyDescent="0.25">
      <c r="A79" s="1"/>
      <c r="B79" s="1"/>
      <c r="C79" s="1"/>
      <c r="D79" s="2"/>
      <c r="E79" s="1"/>
    </row>
    <row r="80" spans="1:5" ht="14.25" customHeight="1" x14ac:dyDescent="0.25">
      <c r="A80" s="1"/>
      <c r="B80" s="1"/>
      <c r="C80" s="1"/>
      <c r="D80" s="2"/>
      <c r="E80" s="1"/>
    </row>
    <row r="81" spans="1:5" ht="14.25" customHeight="1" x14ac:dyDescent="0.25">
      <c r="A81" s="1"/>
      <c r="B81" s="1"/>
      <c r="C81" s="1"/>
      <c r="D81" s="2"/>
      <c r="E81" s="1"/>
    </row>
    <row r="82" spans="1:5" ht="14.25" customHeight="1" x14ac:dyDescent="0.25">
      <c r="A82" s="1"/>
      <c r="B82" s="1"/>
      <c r="C82" s="1"/>
      <c r="D82" s="2"/>
      <c r="E82" s="1"/>
    </row>
    <row r="83" spans="1:5" ht="14.25" customHeight="1" x14ac:dyDescent="0.25">
      <c r="A83" s="1"/>
      <c r="B83" s="1"/>
      <c r="C83" s="1"/>
      <c r="D83" s="2"/>
      <c r="E83" s="1"/>
    </row>
    <row r="84" spans="1:5" ht="14.25" customHeight="1" x14ac:dyDescent="0.25">
      <c r="A84" s="1"/>
      <c r="B84" s="1"/>
      <c r="C84" s="1"/>
      <c r="D84" s="2"/>
      <c r="E84" s="1"/>
    </row>
    <row r="85" spans="1:5" ht="14.25" customHeight="1" x14ac:dyDescent="0.25">
      <c r="A85" s="1"/>
      <c r="B85" s="1"/>
      <c r="C85" s="1"/>
      <c r="D85" s="2"/>
      <c r="E85" s="1"/>
    </row>
    <row r="86" spans="1:5" ht="14.25" customHeight="1" x14ac:dyDescent="0.25">
      <c r="A86" s="1"/>
      <c r="B86" s="1"/>
      <c r="C86" s="1"/>
      <c r="D86" s="2"/>
      <c r="E86" s="1"/>
    </row>
    <row r="87" spans="1:5" ht="14.25" customHeight="1" x14ac:dyDescent="0.25">
      <c r="A87" s="1"/>
      <c r="B87" s="1"/>
      <c r="C87" s="1"/>
      <c r="D87" s="2"/>
      <c r="E87" s="1"/>
    </row>
    <row r="88" spans="1:5" ht="14.25" customHeight="1" x14ac:dyDescent="0.25">
      <c r="A88" s="1"/>
      <c r="B88" s="1"/>
      <c r="C88" s="1"/>
      <c r="D88" s="2"/>
      <c r="E88" s="1"/>
    </row>
    <row r="89" spans="1:5" ht="14.25" customHeight="1" x14ac:dyDescent="0.25">
      <c r="A89" s="1"/>
      <c r="B89" s="1"/>
      <c r="C89" s="1"/>
      <c r="D89" s="2"/>
      <c r="E89" s="1"/>
    </row>
    <row r="90" spans="1:5" ht="14.25" customHeight="1" x14ac:dyDescent="0.25">
      <c r="A90" s="1"/>
      <c r="B90" s="1"/>
      <c r="C90" s="1"/>
      <c r="D90" s="2"/>
      <c r="E90" s="1"/>
    </row>
    <row r="91" spans="1:5" ht="14.25" customHeight="1" x14ac:dyDescent="0.25">
      <c r="A91" s="1"/>
      <c r="B91" s="1"/>
      <c r="C91" s="1"/>
      <c r="D91" s="2"/>
      <c r="E91" s="1"/>
    </row>
    <row r="92" spans="1:5" ht="14.25" customHeight="1" x14ac:dyDescent="0.25">
      <c r="A92" s="1"/>
      <c r="B92" s="1"/>
      <c r="C92" s="1"/>
      <c r="D92" s="2"/>
      <c r="E92" s="1"/>
    </row>
    <row r="93" spans="1:5" ht="14.25" customHeight="1" x14ac:dyDescent="0.25">
      <c r="A93" s="1"/>
      <c r="B93" s="1"/>
      <c r="C93" s="1"/>
      <c r="D93" s="2"/>
      <c r="E93" s="1"/>
    </row>
    <row r="94" spans="1:5" ht="14.25" customHeight="1" x14ac:dyDescent="0.25">
      <c r="A94" s="1"/>
      <c r="B94" s="1"/>
      <c r="C94" s="1"/>
      <c r="D94" s="2"/>
      <c r="E94" s="1"/>
    </row>
    <row r="95" spans="1:5" ht="14.25" customHeight="1" x14ac:dyDescent="0.25">
      <c r="A95" s="1"/>
      <c r="B95" s="1"/>
      <c r="C95" s="1"/>
      <c r="D95" s="2"/>
      <c r="E95" s="1"/>
    </row>
    <row r="96" spans="1:5" ht="14.25" customHeight="1" x14ac:dyDescent="0.25">
      <c r="A96" s="1"/>
      <c r="B96" s="1"/>
      <c r="C96" s="1"/>
      <c r="D96" s="2"/>
      <c r="E96" s="1"/>
    </row>
    <row r="97" spans="1:5" ht="14.25" customHeight="1" x14ac:dyDescent="0.25">
      <c r="A97" s="1"/>
      <c r="B97" s="1"/>
      <c r="C97" s="1"/>
      <c r="D97" s="2"/>
      <c r="E97" s="1"/>
    </row>
    <row r="98" spans="1:5" ht="14.25" customHeight="1" x14ac:dyDescent="0.25">
      <c r="A98" s="1"/>
      <c r="B98" s="1"/>
      <c r="C98" s="1"/>
      <c r="D98" s="2"/>
      <c r="E98" s="1"/>
    </row>
    <row r="99" spans="1:5" ht="14.25" customHeight="1" x14ac:dyDescent="0.25">
      <c r="A99" s="1"/>
      <c r="B99" s="1"/>
      <c r="C99" s="1"/>
      <c r="D99" s="2"/>
      <c r="E99" s="1"/>
    </row>
    <row r="100" spans="1:5" ht="14.25" customHeight="1" x14ac:dyDescent="0.25">
      <c r="A100" s="1"/>
      <c r="B100" s="1"/>
      <c r="C100" s="1"/>
      <c r="D100" s="2"/>
      <c r="E100" s="1"/>
    </row>
    <row r="101" spans="1:5" ht="14.25" customHeight="1" x14ac:dyDescent="0.25">
      <c r="A101" s="1"/>
      <c r="B101" s="1"/>
      <c r="C101" s="1"/>
      <c r="D101" s="2"/>
      <c r="E101" s="1"/>
    </row>
    <row r="102" spans="1:5" ht="14.25" customHeight="1" x14ac:dyDescent="0.25">
      <c r="A102" s="1"/>
      <c r="B102" s="1"/>
      <c r="C102" s="1"/>
      <c r="D102" s="2"/>
      <c r="E102" s="1"/>
    </row>
    <row r="103" spans="1:5" ht="14.25" customHeight="1" x14ac:dyDescent="0.25">
      <c r="A103" s="1"/>
      <c r="B103" s="1"/>
      <c r="C103" s="1"/>
      <c r="D103" s="2"/>
      <c r="E103" s="1"/>
    </row>
    <row r="104" spans="1:5" ht="14.25" customHeight="1" x14ac:dyDescent="0.25">
      <c r="A104" s="1"/>
      <c r="B104" s="1"/>
      <c r="C104" s="1"/>
      <c r="D104" s="2"/>
      <c r="E104" s="1"/>
    </row>
    <row r="105" spans="1:5" ht="14.25" customHeight="1" x14ac:dyDescent="0.25">
      <c r="A105" s="1"/>
      <c r="B105" s="1"/>
      <c r="C105" s="1"/>
      <c r="D105" s="2"/>
      <c r="E105" s="1"/>
    </row>
    <row r="106" spans="1:5" ht="14.25" customHeight="1" x14ac:dyDescent="0.25">
      <c r="A106" s="1"/>
      <c r="B106" s="1"/>
      <c r="C106" s="1"/>
      <c r="D106" s="2"/>
      <c r="E106" s="1"/>
    </row>
    <row r="107" spans="1:5" ht="14.25" customHeight="1" x14ac:dyDescent="0.25">
      <c r="A107" s="1"/>
      <c r="B107" s="1"/>
      <c r="C107" s="1"/>
      <c r="D107" s="2"/>
      <c r="E107" s="1"/>
    </row>
    <row r="108" spans="1:5" ht="14.25" customHeight="1" x14ac:dyDescent="0.25">
      <c r="A108" s="1"/>
      <c r="B108" s="1"/>
      <c r="C108" s="1"/>
      <c r="D108" s="2"/>
      <c r="E108" s="1"/>
    </row>
    <row r="109" spans="1:5" ht="14.25" customHeight="1" x14ac:dyDescent="0.25">
      <c r="A109" s="1"/>
      <c r="B109" s="1"/>
      <c r="C109" s="1"/>
      <c r="D109" s="2"/>
      <c r="E109" s="1"/>
    </row>
    <row r="110" spans="1:5" ht="14.25" customHeight="1" x14ac:dyDescent="0.25">
      <c r="A110" s="1"/>
      <c r="B110" s="1"/>
      <c r="C110" s="1"/>
      <c r="D110" s="2"/>
      <c r="E110" s="1"/>
    </row>
    <row r="111" spans="1:5" ht="14.25" customHeight="1" x14ac:dyDescent="0.25">
      <c r="A111" s="1"/>
      <c r="B111" s="1"/>
      <c r="C111" s="1"/>
      <c r="D111" s="2"/>
      <c r="E111" s="1"/>
    </row>
    <row r="112" spans="1:5" ht="14.25" customHeight="1" x14ac:dyDescent="0.25">
      <c r="A112" s="1"/>
      <c r="B112" s="1"/>
      <c r="C112" s="1"/>
      <c r="D112" s="2"/>
      <c r="E112" s="1"/>
    </row>
    <row r="113" spans="1:5" ht="14.25" customHeight="1" x14ac:dyDescent="0.25">
      <c r="A113" s="1"/>
      <c r="B113" s="1"/>
      <c r="C113" s="1"/>
      <c r="D113" s="2"/>
      <c r="E113" s="1"/>
    </row>
    <row r="114" spans="1:5" ht="14.25" customHeight="1" x14ac:dyDescent="0.25">
      <c r="A114" s="1"/>
      <c r="B114" s="1"/>
      <c r="C114" s="1"/>
      <c r="D114" s="2"/>
      <c r="E114" s="1"/>
    </row>
    <row r="115" spans="1:5" ht="14.25" customHeight="1" x14ac:dyDescent="0.25">
      <c r="A115" s="1"/>
      <c r="B115" s="1"/>
      <c r="C115" s="1"/>
      <c r="D115" s="2"/>
      <c r="E115" s="1"/>
    </row>
    <row r="116" spans="1:5" ht="14.25" customHeight="1" x14ac:dyDescent="0.25">
      <c r="A116" s="1"/>
      <c r="B116" s="1"/>
      <c r="C116" s="1"/>
      <c r="D116" s="2"/>
      <c r="E116" s="1"/>
    </row>
    <row r="117" spans="1:5" ht="14.25" customHeight="1" x14ac:dyDescent="0.25">
      <c r="A117" s="1"/>
      <c r="B117" s="1"/>
      <c r="C117" s="1"/>
      <c r="D117" s="2"/>
      <c r="E117" s="1"/>
    </row>
    <row r="118" spans="1:5" ht="14.25" customHeight="1" x14ac:dyDescent="0.25">
      <c r="A118" s="1"/>
      <c r="B118" s="1"/>
      <c r="C118" s="1"/>
      <c r="D118" s="2"/>
      <c r="E118" s="1"/>
    </row>
    <row r="119" spans="1:5" ht="14.25" customHeight="1" x14ac:dyDescent="0.25">
      <c r="A119" s="1"/>
      <c r="B119" s="1"/>
      <c r="C119" s="1"/>
      <c r="D119" s="2"/>
      <c r="E119" s="1"/>
    </row>
    <row r="120" spans="1:5" ht="14.25" customHeight="1" x14ac:dyDescent="0.25">
      <c r="A120" s="1"/>
      <c r="B120" s="1"/>
      <c r="C120" s="1"/>
      <c r="D120" s="2"/>
      <c r="E120" s="1"/>
    </row>
    <row r="121" spans="1:5" ht="14.25" customHeight="1" x14ac:dyDescent="0.25">
      <c r="A121" s="1"/>
      <c r="B121" s="1"/>
      <c r="C121" s="1"/>
      <c r="D121" s="2"/>
      <c r="E121" s="1"/>
    </row>
    <row r="122" spans="1:5" ht="14.25" customHeight="1" x14ac:dyDescent="0.25">
      <c r="A122" s="1"/>
      <c r="B122" s="1"/>
      <c r="C122" s="1"/>
      <c r="D122" s="2"/>
      <c r="E122" s="1"/>
    </row>
    <row r="123" spans="1:5" ht="14.25" customHeight="1" x14ac:dyDescent="0.25">
      <c r="A123" s="1"/>
      <c r="B123" s="1"/>
      <c r="C123" s="1"/>
      <c r="D123" s="2"/>
      <c r="E123" s="1"/>
    </row>
    <row r="124" spans="1:5" ht="14.25" customHeight="1" x14ac:dyDescent="0.25">
      <c r="A124" s="1"/>
      <c r="B124" s="1"/>
      <c r="C124" s="1"/>
      <c r="D124" s="2"/>
      <c r="E124" s="1"/>
    </row>
    <row r="125" spans="1:5" ht="14.25" customHeight="1" x14ac:dyDescent="0.25">
      <c r="A125" s="1"/>
      <c r="B125" s="1"/>
      <c r="C125" s="1"/>
      <c r="D125" s="2"/>
      <c r="E125" s="1"/>
    </row>
    <row r="126" spans="1:5" ht="14.25" customHeight="1" x14ac:dyDescent="0.25">
      <c r="A126" s="1"/>
      <c r="B126" s="1"/>
      <c r="C126" s="1"/>
      <c r="D126" s="2"/>
      <c r="E126" s="1"/>
    </row>
    <row r="127" spans="1:5" ht="14.25" customHeight="1" x14ac:dyDescent="0.25">
      <c r="A127" s="1"/>
      <c r="B127" s="1"/>
      <c r="C127" s="1"/>
      <c r="D127" s="2"/>
      <c r="E127" s="1"/>
    </row>
    <row r="128" spans="1:5" ht="14.25" customHeight="1" x14ac:dyDescent="0.25">
      <c r="A128" s="1"/>
      <c r="B128" s="1"/>
      <c r="C128" s="1"/>
      <c r="D128" s="2"/>
      <c r="E128" s="1"/>
    </row>
    <row r="129" spans="1:5" ht="14.25" customHeight="1" x14ac:dyDescent="0.25">
      <c r="A129" s="1"/>
      <c r="B129" s="1"/>
      <c r="C129" s="1"/>
      <c r="D129" s="2"/>
      <c r="E129" s="1"/>
    </row>
    <row r="130" spans="1:5" ht="14.25" customHeight="1" x14ac:dyDescent="0.25">
      <c r="A130" s="1"/>
      <c r="B130" s="1"/>
      <c r="C130" s="1"/>
      <c r="D130" s="2"/>
      <c r="E130" s="1"/>
    </row>
    <row r="131" spans="1:5" ht="14.25" customHeight="1" x14ac:dyDescent="0.25">
      <c r="A131" s="1"/>
      <c r="B131" s="1"/>
      <c r="C131" s="1"/>
      <c r="D131" s="2"/>
      <c r="E131" s="1"/>
    </row>
    <row r="132" spans="1:5" ht="14.25" customHeight="1" x14ac:dyDescent="0.25">
      <c r="A132" s="1"/>
      <c r="B132" s="1"/>
      <c r="C132" s="1"/>
      <c r="D132" s="2"/>
      <c r="E132" s="1"/>
    </row>
    <row r="133" spans="1:5" ht="14.25" customHeight="1" x14ac:dyDescent="0.25">
      <c r="A133" s="1"/>
      <c r="B133" s="1"/>
      <c r="C133" s="1"/>
      <c r="D133" s="2"/>
      <c r="E133" s="1"/>
    </row>
    <row r="134" spans="1:5" ht="14.25" customHeight="1" x14ac:dyDescent="0.25">
      <c r="A134" s="1"/>
      <c r="B134" s="1"/>
      <c r="C134" s="1"/>
      <c r="D134" s="2"/>
      <c r="E134" s="1"/>
    </row>
    <row r="135" spans="1:5" ht="14.25" customHeight="1" x14ac:dyDescent="0.25">
      <c r="A135" s="1"/>
      <c r="B135" s="1"/>
      <c r="C135" s="1"/>
      <c r="D135" s="2"/>
      <c r="E135" s="1"/>
    </row>
    <row r="136" spans="1:5" ht="14.25" customHeight="1" x14ac:dyDescent="0.25">
      <c r="A136" s="1"/>
      <c r="B136" s="1"/>
      <c r="C136" s="1"/>
      <c r="D136" s="2"/>
      <c r="E136" s="1"/>
    </row>
    <row r="137" spans="1:5" ht="14.25" customHeight="1" x14ac:dyDescent="0.25">
      <c r="A137" s="1"/>
      <c r="B137" s="1"/>
      <c r="C137" s="1"/>
      <c r="D137" s="2"/>
      <c r="E137" s="1"/>
    </row>
    <row r="138" spans="1:5" ht="14.25" customHeight="1" x14ac:dyDescent="0.25">
      <c r="A138" s="1"/>
      <c r="B138" s="1"/>
      <c r="C138" s="1"/>
      <c r="D138" s="2"/>
      <c r="E138" s="1"/>
    </row>
    <row r="139" spans="1:5" ht="14.25" customHeight="1" x14ac:dyDescent="0.25">
      <c r="A139" s="1"/>
      <c r="B139" s="1"/>
      <c r="C139" s="1"/>
      <c r="D139" s="2"/>
      <c r="E139" s="1"/>
    </row>
    <row r="140" spans="1:5" ht="14.25" customHeight="1" x14ac:dyDescent="0.25">
      <c r="A140" s="1"/>
      <c r="B140" s="1"/>
      <c r="C140" s="1"/>
      <c r="D140" s="2"/>
      <c r="E140" s="1"/>
    </row>
    <row r="141" spans="1:5" ht="14.25" customHeight="1" x14ac:dyDescent="0.25">
      <c r="A141" s="1"/>
      <c r="B141" s="1"/>
      <c r="C141" s="1"/>
      <c r="D141" s="2"/>
      <c r="E141" s="1"/>
    </row>
    <row r="142" spans="1:5" ht="14.25" customHeight="1" x14ac:dyDescent="0.25">
      <c r="A142" s="1"/>
      <c r="B142" s="1"/>
      <c r="C142" s="1"/>
      <c r="D142" s="2"/>
      <c r="E142" s="1"/>
    </row>
    <row r="143" spans="1:5" ht="14.25" customHeight="1" x14ac:dyDescent="0.25">
      <c r="A143" s="1"/>
      <c r="B143" s="1"/>
      <c r="C143" s="1"/>
      <c r="D143" s="2"/>
      <c r="E143" s="1"/>
    </row>
    <row r="144" spans="1:5" ht="14.25" customHeight="1" x14ac:dyDescent="0.25">
      <c r="A144" s="1"/>
      <c r="B144" s="1"/>
      <c r="C144" s="1"/>
      <c r="D144" s="2"/>
      <c r="E144" s="1"/>
    </row>
    <row r="145" spans="1:5" ht="14.25" customHeight="1" x14ac:dyDescent="0.25">
      <c r="A145" s="1"/>
      <c r="B145" s="1"/>
      <c r="C145" s="1"/>
      <c r="D145" s="2"/>
      <c r="E145" s="1"/>
    </row>
    <row r="146" spans="1:5" ht="14.25" customHeight="1" x14ac:dyDescent="0.25">
      <c r="A146" s="1"/>
      <c r="B146" s="1"/>
      <c r="C146" s="1"/>
      <c r="D146" s="2"/>
      <c r="E146" s="1"/>
    </row>
    <row r="147" spans="1:5" ht="14.25" customHeight="1" x14ac:dyDescent="0.25">
      <c r="A147" s="1"/>
      <c r="B147" s="1"/>
      <c r="C147" s="1"/>
      <c r="D147" s="2"/>
      <c r="E147" s="1"/>
    </row>
    <row r="148" spans="1:5" ht="14.25" customHeight="1" x14ac:dyDescent="0.25">
      <c r="A148" s="1"/>
      <c r="B148" s="1"/>
      <c r="C148" s="1"/>
      <c r="D148" s="2"/>
      <c r="E148" s="1"/>
    </row>
    <row r="149" spans="1:5" ht="14.25" customHeight="1" x14ac:dyDescent="0.25">
      <c r="A149" s="1"/>
      <c r="B149" s="1"/>
      <c r="C149" s="1"/>
      <c r="D149" s="2"/>
      <c r="E149" s="1"/>
    </row>
    <row r="150" spans="1:5" ht="14.25" customHeight="1" x14ac:dyDescent="0.25">
      <c r="A150" s="1"/>
      <c r="B150" s="1"/>
      <c r="C150" s="1"/>
      <c r="D150" s="2"/>
      <c r="E150" s="1"/>
    </row>
    <row r="151" spans="1:5" ht="14.25" customHeight="1" x14ac:dyDescent="0.25">
      <c r="A151" s="1"/>
      <c r="B151" s="1"/>
      <c r="C151" s="1"/>
      <c r="D151" s="2"/>
      <c r="E151" s="1"/>
    </row>
    <row r="152" spans="1:5" ht="14.25" customHeight="1" x14ac:dyDescent="0.25">
      <c r="A152" s="1"/>
      <c r="B152" s="1"/>
      <c r="C152" s="1"/>
      <c r="D152" s="2"/>
      <c r="E152" s="1"/>
    </row>
    <row r="153" spans="1:5" ht="14.25" customHeight="1" x14ac:dyDescent="0.25">
      <c r="A153" s="1"/>
      <c r="B153" s="1"/>
      <c r="C153" s="1"/>
      <c r="D153" s="2"/>
      <c r="E153" s="1"/>
    </row>
    <row r="154" spans="1:5" ht="14.25" customHeight="1" x14ac:dyDescent="0.25">
      <c r="A154" s="1"/>
      <c r="B154" s="1"/>
      <c r="C154" s="1"/>
      <c r="D154" s="2"/>
      <c r="E154" s="1"/>
    </row>
    <row r="155" spans="1:5" ht="14.25" customHeight="1" x14ac:dyDescent="0.25">
      <c r="A155" s="1"/>
      <c r="B155" s="1"/>
      <c r="C155" s="1"/>
      <c r="D155" s="2"/>
      <c r="E155" s="1"/>
    </row>
    <row r="156" spans="1:5" ht="14.25" customHeight="1" x14ac:dyDescent="0.25">
      <c r="A156" s="1"/>
      <c r="B156" s="1"/>
      <c r="C156" s="1"/>
      <c r="D156" s="2"/>
      <c r="E156" s="1"/>
    </row>
    <row r="157" spans="1:5" ht="14.25" customHeight="1" x14ac:dyDescent="0.25">
      <c r="A157" s="1"/>
      <c r="B157" s="1"/>
      <c r="C157" s="1"/>
      <c r="D157" s="2"/>
      <c r="E157" s="1"/>
    </row>
    <row r="158" spans="1:5" ht="14.25" customHeight="1" x14ac:dyDescent="0.25">
      <c r="A158" s="1"/>
      <c r="B158" s="1"/>
      <c r="C158" s="1"/>
      <c r="D158" s="2"/>
      <c r="E158" s="1"/>
    </row>
    <row r="159" spans="1:5" ht="14.25" customHeight="1" x14ac:dyDescent="0.25">
      <c r="A159" s="1"/>
      <c r="B159" s="1"/>
      <c r="C159" s="1"/>
      <c r="D159" s="2"/>
      <c r="E159" s="1"/>
    </row>
    <row r="160" spans="1:5" ht="14.25" customHeight="1" x14ac:dyDescent="0.25">
      <c r="A160" s="1"/>
      <c r="B160" s="1"/>
      <c r="C160" s="1"/>
      <c r="D160" s="2"/>
      <c r="E160" s="1"/>
    </row>
    <row r="161" spans="1:5" ht="14.25" customHeight="1" x14ac:dyDescent="0.25">
      <c r="A161" s="1"/>
      <c r="B161" s="1"/>
      <c r="C161" s="1"/>
      <c r="D161" s="2"/>
      <c r="E161" s="1"/>
    </row>
    <row r="162" spans="1:5" ht="14.25" customHeight="1" x14ac:dyDescent="0.25">
      <c r="A162" s="1"/>
      <c r="B162" s="1"/>
      <c r="C162" s="1"/>
      <c r="D162" s="2"/>
      <c r="E162" s="1"/>
    </row>
    <row r="163" spans="1:5" ht="14.25" customHeight="1" x14ac:dyDescent="0.25">
      <c r="A163" s="1"/>
      <c r="B163" s="1"/>
      <c r="C163" s="1"/>
      <c r="D163" s="2"/>
      <c r="E163" s="1"/>
    </row>
    <row r="164" spans="1:5" ht="14.25" customHeight="1" x14ac:dyDescent="0.25">
      <c r="A164" s="1"/>
      <c r="B164" s="1"/>
      <c r="C164" s="1"/>
      <c r="D164" s="2"/>
      <c r="E164" s="1"/>
    </row>
    <row r="165" spans="1:5" ht="14.25" customHeight="1" x14ac:dyDescent="0.25">
      <c r="A165" s="1"/>
      <c r="B165" s="1"/>
      <c r="C165" s="1"/>
      <c r="D165" s="2"/>
      <c r="E165" s="1"/>
    </row>
    <row r="166" spans="1:5" ht="14.25" customHeight="1" x14ac:dyDescent="0.25">
      <c r="A166" s="1"/>
      <c r="B166" s="1"/>
      <c r="C166" s="1"/>
      <c r="D166" s="2"/>
      <c r="E166" s="1"/>
    </row>
    <row r="167" spans="1:5" ht="14.25" customHeight="1" x14ac:dyDescent="0.25">
      <c r="A167" s="1"/>
      <c r="B167" s="1"/>
      <c r="C167" s="1"/>
      <c r="D167" s="2"/>
      <c r="E167" s="1"/>
    </row>
    <row r="168" spans="1:5" ht="14.25" customHeight="1" x14ac:dyDescent="0.25">
      <c r="A168" s="1"/>
      <c r="B168" s="1"/>
      <c r="C168" s="1"/>
      <c r="D168" s="2"/>
      <c r="E168" s="1"/>
    </row>
    <row r="169" spans="1:5" ht="14.25" customHeight="1" x14ac:dyDescent="0.25">
      <c r="A169" s="1"/>
      <c r="B169" s="1"/>
      <c r="C169" s="1"/>
      <c r="D169" s="2"/>
      <c r="E169" s="1"/>
    </row>
    <row r="170" spans="1:5" ht="14.25" customHeight="1" x14ac:dyDescent="0.25">
      <c r="A170" s="1"/>
      <c r="B170" s="1"/>
      <c r="C170" s="1"/>
      <c r="D170" s="2"/>
      <c r="E170" s="1"/>
    </row>
    <row r="171" spans="1:5" ht="14.25" customHeight="1" x14ac:dyDescent="0.25">
      <c r="A171" s="1"/>
      <c r="B171" s="1"/>
      <c r="C171" s="1"/>
      <c r="D171" s="2"/>
      <c r="E171" s="1"/>
    </row>
    <row r="172" spans="1:5" ht="14.25" customHeight="1" x14ac:dyDescent="0.25">
      <c r="A172" s="1"/>
      <c r="B172" s="1"/>
      <c r="C172" s="1"/>
      <c r="D172" s="2"/>
      <c r="E172" s="1"/>
    </row>
    <row r="173" spans="1:5" ht="14.25" customHeight="1" x14ac:dyDescent="0.25">
      <c r="A173" s="1"/>
      <c r="B173" s="1"/>
      <c r="C173" s="1"/>
      <c r="D173" s="2"/>
      <c r="E173" s="1"/>
    </row>
    <row r="174" spans="1:5" ht="14.25" customHeight="1" x14ac:dyDescent="0.25">
      <c r="A174" s="1"/>
      <c r="B174" s="1"/>
      <c r="C174" s="1"/>
      <c r="D174" s="2"/>
      <c r="E174" s="1"/>
    </row>
    <row r="175" spans="1:5" ht="14.25" customHeight="1" x14ac:dyDescent="0.25">
      <c r="A175" s="1"/>
      <c r="B175" s="1"/>
      <c r="C175" s="1"/>
      <c r="D175" s="2"/>
      <c r="E175" s="1"/>
    </row>
    <row r="176" spans="1:5" ht="14.25" customHeight="1" x14ac:dyDescent="0.25">
      <c r="A176" s="1"/>
      <c r="B176" s="1"/>
      <c r="C176" s="1"/>
      <c r="D176" s="2"/>
      <c r="E176" s="1"/>
    </row>
    <row r="177" spans="1:5" ht="14.25" customHeight="1" x14ac:dyDescent="0.25">
      <c r="A177" s="1"/>
      <c r="B177" s="1"/>
      <c r="C177" s="1"/>
      <c r="D177" s="2"/>
      <c r="E177" s="1"/>
    </row>
    <row r="178" spans="1:5" ht="14.25" customHeight="1" x14ac:dyDescent="0.25">
      <c r="A178" s="1"/>
      <c r="B178" s="1"/>
      <c r="C178" s="1"/>
      <c r="D178" s="2"/>
      <c r="E178" s="1"/>
    </row>
    <row r="179" spans="1:5" ht="14.25" customHeight="1" x14ac:dyDescent="0.25">
      <c r="A179" s="1"/>
      <c r="B179" s="1"/>
      <c r="C179" s="1"/>
      <c r="D179" s="2"/>
      <c r="E179" s="1"/>
    </row>
    <row r="180" spans="1:5" ht="14.25" customHeight="1" x14ac:dyDescent="0.25">
      <c r="A180" s="1"/>
      <c r="B180" s="1"/>
      <c r="C180" s="1"/>
      <c r="D180" s="2"/>
      <c r="E180" s="1"/>
    </row>
    <row r="181" spans="1:5" ht="14.25" customHeight="1" x14ac:dyDescent="0.25">
      <c r="A181" s="1"/>
      <c r="B181" s="1"/>
      <c r="C181" s="1"/>
      <c r="D181" s="2"/>
      <c r="E181" s="1"/>
    </row>
    <row r="182" spans="1:5" ht="14.25" customHeight="1" x14ac:dyDescent="0.25">
      <c r="A182" s="1"/>
      <c r="B182" s="1"/>
      <c r="C182" s="1"/>
      <c r="D182" s="2"/>
      <c r="E182" s="1"/>
    </row>
    <row r="183" spans="1:5" ht="14.25" customHeight="1" x14ac:dyDescent="0.25">
      <c r="A183" s="1"/>
      <c r="B183" s="1"/>
      <c r="C183" s="1"/>
      <c r="D183" s="2"/>
      <c r="E183" s="1"/>
    </row>
    <row r="184" spans="1:5" ht="14.25" customHeight="1" x14ac:dyDescent="0.25">
      <c r="A184" s="1"/>
      <c r="B184" s="1"/>
      <c r="C184" s="1"/>
      <c r="D184" s="2"/>
      <c r="E184" s="1"/>
    </row>
    <row r="185" spans="1:5" ht="14.25" customHeight="1" x14ac:dyDescent="0.25">
      <c r="A185" s="1"/>
      <c r="B185" s="1"/>
      <c r="C185" s="1"/>
      <c r="D185" s="2"/>
      <c r="E185" s="1"/>
    </row>
    <row r="186" spans="1:5" ht="14.25" customHeight="1" x14ac:dyDescent="0.25">
      <c r="A186" s="1"/>
      <c r="B186" s="1"/>
      <c r="C186" s="1"/>
      <c r="D186" s="2"/>
      <c r="E186" s="1"/>
    </row>
    <row r="187" spans="1:5" ht="14.25" customHeight="1" x14ac:dyDescent="0.25">
      <c r="A187" s="1"/>
      <c r="B187" s="1"/>
      <c r="C187" s="1"/>
      <c r="D187" s="2"/>
      <c r="E187" s="1"/>
    </row>
    <row r="188" spans="1:5" ht="14.25" customHeight="1" x14ac:dyDescent="0.25">
      <c r="A188" s="1"/>
      <c r="B188" s="1"/>
      <c r="C188" s="1"/>
      <c r="D188" s="2"/>
      <c r="E188" s="1"/>
    </row>
    <row r="189" spans="1:5" ht="14.25" customHeight="1" x14ac:dyDescent="0.25">
      <c r="A189" s="1"/>
      <c r="B189" s="1"/>
      <c r="C189" s="1"/>
      <c r="D189" s="2"/>
      <c r="E189" s="1"/>
    </row>
    <row r="190" spans="1:5" ht="14.25" customHeight="1" x14ac:dyDescent="0.25">
      <c r="A190" s="1"/>
      <c r="B190" s="1"/>
      <c r="C190" s="1"/>
      <c r="D190" s="2"/>
      <c r="E190" s="1"/>
    </row>
    <row r="191" spans="1:5" ht="14.25" customHeight="1" x14ac:dyDescent="0.25">
      <c r="A191" s="1"/>
      <c r="B191" s="1"/>
      <c r="C191" s="1"/>
      <c r="D191" s="2"/>
      <c r="E191" s="1"/>
    </row>
    <row r="192" spans="1:5" ht="14.25" customHeight="1" x14ac:dyDescent="0.25">
      <c r="A192" s="1"/>
      <c r="B192" s="1"/>
      <c r="C192" s="1"/>
      <c r="D192" s="2"/>
      <c r="E192" s="1"/>
    </row>
    <row r="193" spans="1:5" ht="14.25" customHeight="1" x14ac:dyDescent="0.25">
      <c r="A193" s="1"/>
      <c r="B193" s="1"/>
      <c r="C193" s="1"/>
      <c r="D193" s="2"/>
      <c r="E193" s="1"/>
    </row>
    <row r="194" spans="1:5" ht="14.25" customHeight="1" x14ac:dyDescent="0.25">
      <c r="A194" s="1"/>
      <c r="B194" s="1"/>
      <c r="C194" s="1"/>
      <c r="D194" s="2"/>
      <c r="E194" s="1"/>
    </row>
    <row r="195" spans="1:5" ht="14.25" customHeight="1" x14ac:dyDescent="0.25">
      <c r="A195" s="1"/>
      <c r="B195" s="1"/>
      <c r="C195" s="1"/>
      <c r="D195" s="2"/>
      <c r="E195" s="1"/>
    </row>
    <row r="196" spans="1:5" ht="14.25" customHeight="1" x14ac:dyDescent="0.25">
      <c r="A196" s="1"/>
      <c r="B196" s="1"/>
      <c r="C196" s="1"/>
      <c r="D196" s="2"/>
      <c r="E196" s="1"/>
    </row>
    <row r="197" spans="1:5" ht="14.25" customHeight="1" x14ac:dyDescent="0.25">
      <c r="A197" s="1"/>
      <c r="B197" s="1"/>
      <c r="C197" s="1"/>
      <c r="D197" s="2"/>
      <c r="E197" s="1"/>
    </row>
    <row r="198" spans="1:5" ht="14.25" customHeight="1" x14ac:dyDescent="0.25">
      <c r="A198" s="1"/>
      <c r="B198" s="1"/>
      <c r="C198" s="1"/>
      <c r="D198" s="2"/>
      <c r="E198" s="1"/>
    </row>
    <row r="199" spans="1:5" ht="14.25" customHeight="1" x14ac:dyDescent="0.25">
      <c r="A199" s="1"/>
      <c r="B199" s="1"/>
      <c r="C199" s="1"/>
      <c r="D199" s="2"/>
      <c r="E199" s="1"/>
    </row>
    <row r="200" spans="1:5" ht="14.25" customHeight="1" x14ac:dyDescent="0.25">
      <c r="A200" s="1"/>
      <c r="B200" s="1"/>
      <c r="C200" s="1"/>
      <c r="D200" s="2"/>
      <c r="E200" s="1"/>
    </row>
    <row r="201" spans="1:5" ht="14.25" customHeight="1" x14ac:dyDescent="0.25">
      <c r="A201" s="1"/>
      <c r="B201" s="1"/>
      <c r="C201" s="1"/>
      <c r="D201" s="2"/>
      <c r="E201" s="1"/>
    </row>
    <row r="202" spans="1:5" ht="14.25" customHeight="1" x14ac:dyDescent="0.25">
      <c r="A202" s="1"/>
      <c r="B202" s="1"/>
      <c r="C202" s="1"/>
      <c r="D202" s="2"/>
      <c r="E202" s="1"/>
    </row>
    <row r="203" spans="1:5" ht="14.25" customHeight="1" x14ac:dyDescent="0.25">
      <c r="A203" s="1"/>
      <c r="B203" s="1"/>
      <c r="C203" s="1"/>
      <c r="D203" s="2"/>
      <c r="E203" s="1"/>
    </row>
    <row r="204" spans="1:5" ht="14.25" customHeight="1" x14ac:dyDescent="0.25">
      <c r="A204" s="1"/>
      <c r="B204" s="1"/>
      <c r="C204" s="1"/>
      <c r="D204" s="2"/>
      <c r="E204" s="1"/>
    </row>
    <row r="205" spans="1:5" ht="14.25" customHeight="1" x14ac:dyDescent="0.25">
      <c r="A205" s="1"/>
      <c r="B205" s="1"/>
      <c r="C205" s="1"/>
      <c r="D205" s="2"/>
      <c r="E205" s="1"/>
    </row>
    <row r="206" spans="1:5" ht="14.25" customHeight="1" x14ac:dyDescent="0.25">
      <c r="A206" s="1"/>
      <c r="B206" s="1"/>
      <c r="C206" s="1"/>
      <c r="D206" s="2"/>
      <c r="E206" s="1"/>
    </row>
    <row r="207" spans="1:5" ht="14.25" customHeight="1" x14ac:dyDescent="0.25">
      <c r="A207" s="1"/>
      <c r="B207" s="1"/>
      <c r="C207" s="1"/>
      <c r="D207" s="2"/>
      <c r="E207" s="1"/>
    </row>
    <row r="208" spans="1:5" ht="14.25" customHeight="1" x14ac:dyDescent="0.25">
      <c r="A208" s="1"/>
      <c r="B208" s="1"/>
      <c r="C208" s="1"/>
      <c r="D208" s="2"/>
      <c r="E208" s="1"/>
    </row>
    <row r="209" spans="1:5" ht="14.25" customHeight="1" x14ac:dyDescent="0.25">
      <c r="A209" s="1"/>
      <c r="B209" s="1"/>
      <c r="C209" s="1"/>
      <c r="D209" s="2"/>
      <c r="E209" s="1"/>
    </row>
    <row r="210" spans="1:5" ht="14.25" customHeight="1" x14ac:dyDescent="0.25">
      <c r="A210" s="1"/>
      <c r="B210" s="1"/>
      <c r="C210" s="1"/>
      <c r="D210" s="2"/>
      <c r="E210" s="1"/>
    </row>
    <row r="211" spans="1:5" ht="14.25" customHeight="1" x14ac:dyDescent="0.25">
      <c r="A211" s="1"/>
      <c r="B211" s="1"/>
      <c r="C211" s="1"/>
      <c r="D211" s="2"/>
      <c r="E211" s="1"/>
    </row>
    <row r="212" spans="1:5" ht="14.25" customHeight="1" x14ac:dyDescent="0.25">
      <c r="A212" s="1"/>
      <c r="B212" s="1"/>
      <c r="C212" s="1"/>
      <c r="D212" s="2"/>
      <c r="E212" s="1"/>
    </row>
    <row r="213" spans="1:5" ht="14.25" customHeight="1" x14ac:dyDescent="0.25">
      <c r="A213" s="1"/>
      <c r="B213" s="1"/>
      <c r="C213" s="1"/>
      <c r="D213" s="2"/>
      <c r="E213" s="1"/>
    </row>
    <row r="214" spans="1:5" ht="14.25" customHeight="1" x14ac:dyDescent="0.25">
      <c r="A214" s="1"/>
      <c r="B214" s="1"/>
      <c r="C214" s="1"/>
      <c r="D214" s="2"/>
      <c r="E214" s="1"/>
    </row>
    <row r="215" spans="1:5" ht="14.25" customHeight="1" x14ac:dyDescent="0.25">
      <c r="A215" s="1"/>
      <c r="B215" s="1"/>
      <c r="C215" s="1"/>
      <c r="D215" s="2"/>
      <c r="E215" s="1"/>
    </row>
    <row r="216" spans="1:5" ht="14.25" customHeight="1" x14ac:dyDescent="0.25">
      <c r="A216" s="1"/>
      <c r="B216" s="1"/>
      <c r="C216" s="1"/>
      <c r="D216" s="2"/>
      <c r="E216" s="1"/>
    </row>
    <row r="217" spans="1:5" ht="14.25" customHeight="1" x14ac:dyDescent="0.25">
      <c r="A217" s="1"/>
      <c r="B217" s="1"/>
      <c r="C217" s="1"/>
      <c r="D217" s="2"/>
      <c r="E217" s="1"/>
    </row>
    <row r="218" spans="1:5" ht="14.25" customHeight="1" x14ac:dyDescent="0.25">
      <c r="A218" s="1"/>
      <c r="B218" s="1"/>
      <c r="C218" s="1"/>
      <c r="D218" s="2"/>
      <c r="E218" s="1"/>
    </row>
    <row r="219" spans="1:5" ht="14.25" customHeight="1" x14ac:dyDescent="0.25">
      <c r="A219" s="1"/>
      <c r="B219" s="1"/>
      <c r="C219" s="1"/>
      <c r="D219" s="2"/>
      <c r="E219" s="1"/>
    </row>
    <row r="220" spans="1:5" ht="14.25" customHeight="1" x14ac:dyDescent="0.25">
      <c r="A220" s="1"/>
      <c r="B220" s="1"/>
      <c r="C220" s="1"/>
      <c r="D220" s="2"/>
      <c r="E220" s="1"/>
    </row>
    <row r="221" spans="1:5" ht="14.25" customHeight="1" x14ac:dyDescent="0.25">
      <c r="A221" s="1"/>
      <c r="B221" s="1"/>
      <c r="C221" s="1"/>
      <c r="D221" s="2"/>
      <c r="E221" s="1"/>
    </row>
    <row r="222" spans="1:5" ht="14.25" customHeight="1" x14ac:dyDescent="0.25">
      <c r="A222" s="1"/>
      <c r="B222" s="1"/>
      <c r="C222" s="1"/>
      <c r="D222" s="2"/>
      <c r="E222" s="1"/>
    </row>
    <row r="223" spans="1:5" ht="14.25" customHeight="1" x14ac:dyDescent="0.25">
      <c r="A223" s="1"/>
      <c r="B223" s="1"/>
      <c r="C223" s="1"/>
      <c r="D223" s="2"/>
      <c r="E223" s="1"/>
    </row>
    <row r="224" spans="1:5" ht="14.25" customHeight="1" x14ac:dyDescent="0.25">
      <c r="A224" s="1"/>
      <c r="B224" s="1"/>
      <c r="C224" s="1"/>
      <c r="D224" s="2"/>
      <c r="E224" s="1"/>
    </row>
    <row r="225" spans="1:5" ht="14.25" customHeight="1" x14ac:dyDescent="0.25">
      <c r="A225" s="1"/>
      <c r="B225" s="1"/>
      <c r="C225" s="1"/>
      <c r="D225" s="2"/>
      <c r="E225" s="1"/>
    </row>
    <row r="226" spans="1:5" ht="14.25" customHeight="1" x14ac:dyDescent="0.25">
      <c r="A226" s="1"/>
      <c r="B226" s="1"/>
      <c r="C226" s="1"/>
      <c r="D226" s="2"/>
      <c r="E226" s="1"/>
    </row>
    <row r="227" spans="1:5" ht="14.25" customHeight="1" x14ac:dyDescent="0.25">
      <c r="A227" s="1"/>
      <c r="B227" s="1"/>
      <c r="C227" s="1"/>
      <c r="D227" s="2"/>
      <c r="E227" s="1"/>
    </row>
    <row r="228" spans="1:5" ht="14.25" customHeight="1" x14ac:dyDescent="0.25">
      <c r="A228" s="1"/>
      <c r="B228" s="1"/>
      <c r="C228" s="1"/>
      <c r="D228" s="2"/>
      <c r="E228" s="1"/>
    </row>
    <row r="229" spans="1:5" ht="14.25" customHeight="1" x14ac:dyDescent="0.25">
      <c r="A229" s="1"/>
      <c r="B229" s="1"/>
      <c r="C229" s="1"/>
      <c r="D229" s="2"/>
      <c r="E229" s="1"/>
    </row>
    <row r="230" spans="1:5" ht="14.25" customHeight="1" x14ac:dyDescent="0.25">
      <c r="A230" s="1"/>
      <c r="B230" s="1"/>
      <c r="C230" s="1"/>
      <c r="D230" s="2"/>
      <c r="E230" s="1"/>
    </row>
    <row r="231" spans="1:5" ht="14.25" customHeight="1" x14ac:dyDescent="0.25">
      <c r="A231" s="1"/>
      <c r="B231" s="1"/>
      <c r="C231" s="1"/>
      <c r="D231" s="2"/>
      <c r="E231" s="1"/>
    </row>
    <row r="232" spans="1:5" ht="14.25" customHeight="1" x14ac:dyDescent="0.25">
      <c r="A232" s="1"/>
      <c r="B232" s="1"/>
      <c r="C232" s="1"/>
      <c r="D232" s="2"/>
      <c r="E232" s="1"/>
    </row>
    <row r="233" spans="1:5" ht="14.25" customHeight="1" x14ac:dyDescent="0.25">
      <c r="A233" s="1"/>
      <c r="B233" s="1"/>
      <c r="C233" s="1"/>
      <c r="D233" s="2"/>
      <c r="E233" s="1"/>
    </row>
    <row r="234" spans="1:5" ht="14.25" customHeight="1" x14ac:dyDescent="0.25">
      <c r="A234" s="1"/>
      <c r="B234" s="1"/>
      <c r="C234" s="1"/>
      <c r="D234" s="2"/>
      <c r="E234" s="1"/>
    </row>
    <row r="235" spans="1:5" ht="14.25" customHeight="1" x14ac:dyDescent="0.25">
      <c r="A235" s="1"/>
      <c r="B235" s="1"/>
      <c r="C235" s="1"/>
      <c r="D235" s="2"/>
      <c r="E235" s="1"/>
    </row>
    <row r="236" spans="1:5" ht="14.25" customHeight="1" x14ac:dyDescent="0.25">
      <c r="A236" s="1"/>
      <c r="B236" s="1"/>
      <c r="C236" s="1"/>
      <c r="D236" s="2"/>
      <c r="E236" s="1"/>
    </row>
    <row r="237" spans="1:5" ht="14.25" customHeight="1" x14ac:dyDescent="0.25">
      <c r="A237" s="1"/>
      <c r="B237" s="1"/>
      <c r="C237" s="1"/>
      <c r="D237" s="2"/>
      <c r="E237" s="1"/>
    </row>
    <row r="238" spans="1:5" ht="14.25" customHeight="1" x14ac:dyDescent="0.25">
      <c r="A238" s="1"/>
      <c r="B238" s="1"/>
      <c r="C238" s="1"/>
      <c r="D238" s="2"/>
      <c r="E238" s="1"/>
    </row>
    <row r="239" spans="1:5" ht="14.25" customHeight="1" x14ac:dyDescent="0.25">
      <c r="A239" s="1"/>
      <c r="B239" s="1"/>
      <c r="C239" s="1"/>
      <c r="D239" s="2"/>
      <c r="E239" s="1"/>
    </row>
    <row r="240" spans="1:5" ht="14.25" customHeight="1" x14ac:dyDescent="0.25">
      <c r="A240" s="1"/>
      <c r="B240" s="1"/>
      <c r="C240" s="1"/>
      <c r="D240" s="2"/>
      <c r="E240" s="1"/>
    </row>
    <row r="241" spans="1:5" ht="14.25" customHeight="1" x14ac:dyDescent="0.25">
      <c r="A241" s="1"/>
      <c r="B241" s="1"/>
      <c r="C241" s="1"/>
      <c r="D241" s="2"/>
      <c r="E241" s="1"/>
    </row>
    <row r="242" spans="1:5" ht="14.25" customHeight="1" x14ac:dyDescent="0.25">
      <c r="A242" s="1"/>
      <c r="B242" s="1"/>
      <c r="C242" s="1"/>
      <c r="D242" s="2"/>
      <c r="E242" s="1"/>
    </row>
    <row r="243" spans="1:5" ht="14.25" customHeight="1" x14ac:dyDescent="0.25">
      <c r="A243" s="1"/>
      <c r="B243" s="1"/>
      <c r="C243" s="1"/>
      <c r="D243" s="2"/>
      <c r="E243" s="1"/>
    </row>
    <row r="244" spans="1:5" ht="14.25" customHeight="1" x14ac:dyDescent="0.25">
      <c r="A244" s="1"/>
      <c r="B244" s="1"/>
      <c r="C244" s="1"/>
      <c r="D244" s="2"/>
      <c r="E244" s="1"/>
    </row>
    <row r="245" spans="1:5" ht="14.25" customHeight="1" x14ac:dyDescent="0.25">
      <c r="A245" s="1"/>
      <c r="B245" s="1"/>
      <c r="C245" s="1"/>
      <c r="D245" s="2"/>
      <c r="E245" s="1"/>
    </row>
    <row r="246" spans="1:5" ht="14.25" customHeight="1" x14ac:dyDescent="0.25">
      <c r="A246" s="1"/>
      <c r="B246" s="1"/>
      <c r="C246" s="1"/>
      <c r="D246" s="2"/>
      <c r="E246" s="1"/>
    </row>
    <row r="247" spans="1:5" ht="14.25" customHeight="1" x14ac:dyDescent="0.25">
      <c r="A247" s="1"/>
      <c r="B247" s="1"/>
      <c r="C247" s="1"/>
      <c r="D247" s="2"/>
      <c r="E247" s="1"/>
    </row>
    <row r="248" spans="1:5" ht="14.25" customHeight="1" x14ac:dyDescent="0.25">
      <c r="A248" s="1"/>
      <c r="B248" s="1"/>
      <c r="C248" s="1"/>
      <c r="D248" s="2"/>
      <c r="E248" s="1"/>
    </row>
    <row r="249" spans="1:5" ht="14.25" customHeight="1" x14ac:dyDescent="0.25">
      <c r="A249" s="1"/>
      <c r="B249" s="1"/>
      <c r="C249" s="1"/>
      <c r="D249" s="2"/>
      <c r="E249" s="1"/>
    </row>
    <row r="250" spans="1:5" ht="14.25" customHeight="1" x14ac:dyDescent="0.25">
      <c r="A250" s="1"/>
      <c r="B250" s="1"/>
      <c r="C250" s="1"/>
      <c r="D250" s="2"/>
      <c r="E250" s="1"/>
    </row>
    <row r="251" spans="1:5" ht="14.25" customHeight="1" x14ac:dyDescent="0.25">
      <c r="A251" s="1"/>
      <c r="B251" s="1"/>
      <c r="C251" s="1"/>
      <c r="D251" s="2"/>
      <c r="E251" s="1"/>
    </row>
    <row r="252" spans="1:5" ht="14.25" customHeight="1" x14ac:dyDescent="0.25">
      <c r="A252" s="1"/>
      <c r="B252" s="1"/>
      <c r="C252" s="1"/>
      <c r="D252" s="2"/>
      <c r="E252" s="1"/>
    </row>
    <row r="253" spans="1:5" ht="14.25" customHeight="1" x14ac:dyDescent="0.25">
      <c r="A253" s="1"/>
      <c r="B253" s="1"/>
      <c r="C253" s="1"/>
      <c r="D253" s="2"/>
      <c r="E253" s="1"/>
    </row>
    <row r="254" spans="1:5" ht="14.25" customHeight="1" x14ac:dyDescent="0.25">
      <c r="A254" s="1"/>
      <c r="B254" s="1"/>
      <c r="C254" s="1"/>
      <c r="D254" s="2"/>
      <c r="E254" s="1"/>
    </row>
    <row r="255" spans="1:5" ht="14.25" customHeight="1" x14ac:dyDescent="0.25">
      <c r="A255" s="1"/>
      <c r="B255" s="1"/>
      <c r="C255" s="1"/>
      <c r="D255" s="2"/>
      <c r="E255" s="1"/>
    </row>
    <row r="256" spans="1:5" ht="14.25" customHeight="1" x14ac:dyDescent="0.25">
      <c r="A256" s="1"/>
      <c r="B256" s="1"/>
      <c r="C256" s="1"/>
      <c r="D256" s="2"/>
      <c r="E256" s="1"/>
    </row>
    <row r="257" spans="1:5" ht="14.25" customHeight="1" x14ac:dyDescent="0.25">
      <c r="A257" s="1"/>
      <c r="B257" s="1"/>
      <c r="C257" s="1"/>
      <c r="D257" s="2"/>
      <c r="E257" s="1"/>
    </row>
    <row r="258" spans="1:5" ht="14.25" customHeight="1" x14ac:dyDescent="0.25">
      <c r="A258" s="1"/>
      <c r="B258" s="1"/>
      <c r="C258" s="1"/>
      <c r="D258" s="2"/>
      <c r="E258" s="1"/>
    </row>
    <row r="259" spans="1:5" ht="14.25" customHeight="1" x14ac:dyDescent="0.25">
      <c r="A259" s="1"/>
      <c r="B259" s="1"/>
      <c r="C259" s="1"/>
      <c r="D259" s="2"/>
      <c r="E259" s="1"/>
    </row>
    <row r="260" spans="1:5" ht="14.25" customHeight="1" x14ac:dyDescent="0.25">
      <c r="A260" s="1"/>
      <c r="B260" s="1"/>
      <c r="C260" s="1"/>
      <c r="D260" s="2"/>
      <c r="E260" s="1"/>
    </row>
    <row r="261" spans="1:5" ht="14.25" customHeight="1" x14ac:dyDescent="0.25">
      <c r="A261" s="1"/>
      <c r="B261" s="1"/>
      <c r="C261" s="1"/>
      <c r="D261" s="2"/>
      <c r="E261" s="1"/>
    </row>
    <row r="262" spans="1:5" ht="14.25" customHeight="1" x14ac:dyDescent="0.25">
      <c r="A262" s="1"/>
      <c r="B262" s="1"/>
      <c r="C262" s="1"/>
      <c r="D262" s="2"/>
      <c r="E262" s="1"/>
    </row>
    <row r="263" spans="1:5" ht="14.25" customHeight="1" x14ac:dyDescent="0.25">
      <c r="A263" s="1"/>
      <c r="B263" s="1"/>
      <c r="C263" s="1"/>
      <c r="D263" s="2"/>
      <c r="E263" s="1"/>
    </row>
    <row r="264" spans="1:5" ht="14.25" customHeight="1" x14ac:dyDescent="0.25">
      <c r="A264" s="1"/>
      <c r="B264" s="1"/>
      <c r="C264" s="1"/>
      <c r="D264" s="2"/>
      <c r="E264" s="1"/>
    </row>
    <row r="265" spans="1:5" ht="14.25" customHeight="1" x14ac:dyDescent="0.25">
      <c r="A265" s="1"/>
      <c r="B265" s="1"/>
      <c r="C265" s="1"/>
      <c r="D265" s="2"/>
      <c r="E265" s="1"/>
    </row>
    <row r="266" spans="1:5" ht="14.25" customHeight="1" x14ac:dyDescent="0.25">
      <c r="A266" s="1"/>
      <c r="B266" s="1"/>
      <c r="C266" s="1"/>
      <c r="D266" s="2"/>
      <c r="E266" s="1"/>
    </row>
    <row r="267" spans="1:5" ht="14.25" customHeight="1" x14ac:dyDescent="0.25">
      <c r="A267" s="1"/>
      <c r="B267" s="1"/>
      <c r="C267" s="1"/>
      <c r="D267" s="2"/>
      <c r="E267" s="1"/>
    </row>
    <row r="268" spans="1:5" ht="14.25" customHeight="1" x14ac:dyDescent="0.25">
      <c r="A268" s="1"/>
      <c r="B268" s="1"/>
      <c r="C268" s="1"/>
      <c r="D268" s="2"/>
      <c r="E268" s="1"/>
    </row>
    <row r="269" spans="1:5" ht="14.25" customHeight="1" x14ac:dyDescent="0.25">
      <c r="A269" s="1"/>
      <c r="B269" s="1"/>
      <c r="C269" s="1"/>
      <c r="D269" s="2"/>
      <c r="E269" s="1"/>
    </row>
    <row r="270" spans="1:5" ht="14.25" customHeight="1" x14ac:dyDescent="0.25">
      <c r="A270" s="1"/>
      <c r="B270" s="1"/>
      <c r="C270" s="1"/>
      <c r="D270" s="2"/>
      <c r="E270" s="1"/>
    </row>
    <row r="271" spans="1:5" ht="14.25" customHeight="1" x14ac:dyDescent="0.25">
      <c r="A271" s="1"/>
      <c r="B271" s="1"/>
      <c r="C271" s="1"/>
      <c r="D271" s="2"/>
      <c r="E271" s="1"/>
    </row>
    <row r="272" spans="1:5" ht="14.25" customHeight="1" x14ac:dyDescent="0.25">
      <c r="A272" s="1"/>
      <c r="B272" s="1"/>
      <c r="C272" s="1"/>
      <c r="D272" s="2"/>
      <c r="E272" s="1"/>
    </row>
    <row r="273" spans="1:5" ht="14.25" customHeight="1" x14ac:dyDescent="0.25">
      <c r="A273" s="1"/>
      <c r="B273" s="1"/>
      <c r="C273" s="1"/>
      <c r="D273" s="2"/>
      <c r="E273" s="1"/>
    </row>
    <row r="274" spans="1:5" ht="14.25" customHeight="1" x14ac:dyDescent="0.25">
      <c r="A274" s="1"/>
      <c r="B274" s="1"/>
      <c r="C274" s="1"/>
      <c r="D274" s="2"/>
      <c r="E274" s="1"/>
    </row>
    <row r="275" spans="1:5" ht="14.25" customHeight="1" x14ac:dyDescent="0.25">
      <c r="A275" s="1"/>
      <c r="B275" s="1"/>
      <c r="C275" s="1"/>
      <c r="D275" s="2"/>
      <c r="E275" s="1"/>
    </row>
    <row r="276" spans="1:5" ht="14.25" customHeight="1" x14ac:dyDescent="0.25">
      <c r="A276" s="1"/>
      <c r="B276" s="1"/>
      <c r="C276" s="1"/>
      <c r="D276" s="2"/>
      <c r="E276" s="1"/>
    </row>
    <row r="277" spans="1:5" ht="14.25" customHeight="1" x14ac:dyDescent="0.25">
      <c r="A277" s="1"/>
      <c r="B277" s="1"/>
      <c r="C277" s="1"/>
      <c r="D277" s="2"/>
      <c r="E277" s="1"/>
    </row>
    <row r="278" spans="1:5" ht="14.25" customHeight="1" x14ac:dyDescent="0.25">
      <c r="A278" s="1"/>
      <c r="B278" s="1"/>
      <c r="C278" s="1"/>
      <c r="D278" s="2"/>
      <c r="E278" s="1"/>
    </row>
    <row r="279" spans="1:5" ht="14.25" customHeight="1" x14ac:dyDescent="0.25">
      <c r="A279" s="1"/>
      <c r="B279" s="1"/>
      <c r="C279" s="1"/>
      <c r="D279" s="2"/>
      <c r="E279" s="1"/>
    </row>
    <row r="280" spans="1:5" ht="14.25" customHeight="1" x14ac:dyDescent="0.25">
      <c r="A280" s="1"/>
      <c r="B280" s="1"/>
      <c r="C280" s="1"/>
      <c r="D280" s="2"/>
      <c r="E280" s="1"/>
    </row>
    <row r="281" spans="1:5" ht="14.25" customHeight="1" x14ac:dyDescent="0.25">
      <c r="A281" s="1"/>
      <c r="B281" s="1"/>
      <c r="C281" s="1"/>
      <c r="D281" s="2"/>
      <c r="E281" s="1"/>
    </row>
    <row r="282" spans="1:5" ht="14.25" customHeight="1" x14ac:dyDescent="0.25">
      <c r="A282" s="1"/>
      <c r="B282" s="1"/>
      <c r="C282" s="1"/>
      <c r="D282" s="2"/>
      <c r="E282" s="1"/>
    </row>
    <row r="283" spans="1:5" ht="14.25" customHeight="1" x14ac:dyDescent="0.25">
      <c r="A283" s="1"/>
      <c r="B283" s="1"/>
      <c r="C283" s="1"/>
      <c r="D283" s="2"/>
      <c r="E283" s="1"/>
    </row>
    <row r="284" spans="1:5" ht="14.25" customHeight="1" x14ac:dyDescent="0.25">
      <c r="A284" s="1"/>
      <c r="B284" s="1"/>
      <c r="C284" s="1"/>
      <c r="D284" s="2"/>
      <c r="E284" s="1"/>
    </row>
    <row r="285" spans="1:5" ht="14.25" customHeight="1" x14ac:dyDescent="0.25">
      <c r="A285" s="1"/>
      <c r="B285" s="1"/>
      <c r="C285" s="1"/>
      <c r="D285" s="2"/>
      <c r="E285" s="1"/>
    </row>
    <row r="286" spans="1:5" ht="14.25" customHeight="1" x14ac:dyDescent="0.25">
      <c r="A286" s="1"/>
      <c r="B286" s="1"/>
      <c r="C286" s="1"/>
      <c r="D286" s="2"/>
      <c r="E286" s="1"/>
    </row>
    <row r="287" spans="1:5" ht="14.25" customHeight="1" x14ac:dyDescent="0.25">
      <c r="A287" s="1"/>
      <c r="B287" s="1"/>
      <c r="C287" s="1"/>
      <c r="D287" s="2"/>
      <c r="E287" s="1"/>
    </row>
    <row r="288" spans="1:5" ht="14.25" customHeight="1" x14ac:dyDescent="0.25">
      <c r="A288" s="1"/>
      <c r="B288" s="1"/>
      <c r="C288" s="1"/>
      <c r="D288" s="2"/>
      <c r="E288" s="1"/>
    </row>
    <row r="289" spans="1:5" ht="14.25" customHeight="1" x14ac:dyDescent="0.25">
      <c r="A289" s="1"/>
      <c r="B289" s="1"/>
      <c r="C289" s="1"/>
      <c r="D289" s="2"/>
      <c r="E289" s="1"/>
    </row>
    <row r="290" spans="1:5" ht="14.25" customHeight="1" x14ac:dyDescent="0.25">
      <c r="A290" s="1"/>
      <c r="B290" s="1"/>
      <c r="C290" s="1"/>
      <c r="D290" s="2"/>
      <c r="E290" s="1"/>
    </row>
    <row r="291" spans="1:5" ht="14.25" customHeight="1" x14ac:dyDescent="0.25">
      <c r="A291" s="1"/>
      <c r="B291" s="1"/>
      <c r="C291" s="1"/>
      <c r="D291" s="2"/>
      <c r="E291" s="1"/>
    </row>
    <row r="292" spans="1:5" ht="14.25" customHeight="1" x14ac:dyDescent="0.25">
      <c r="A292" s="1"/>
      <c r="B292" s="1"/>
      <c r="C292" s="1"/>
      <c r="D292" s="2"/>
      <c r="E292" s="1"/>
    </row>
    <row r="293" spans="1:5" ht="14.25" customHeight="1" x14ac:dyDescent="0.25">
      <c r="A293" s="1"/>
      <c r="B293" s="1"/>
      <c r="C293" s="1"/>
      <c r="D293" s="2"/>
      <c r="E293" s="1"/>
    </row>
    <row r="294" spans="1:5" ht="14.25" customHeight="1" x14ac:dyDescent="0.25">
      <c r="A294" s="1"/>
      <c r="B294" s="1"/>
      <c r="C294" s="1"/>
      <c r="D294" s="2"/>
      <c r="E294" s="1"/>
    </row>
    <row r="295" spans="1:5" ht="14.25" customHeight="1" x14ac:dyDescent="0.25">
      <c r="A295" s="1"/>
      <c r="B295" s="1"/>
      <c r="C295" s="1"/>
      <c r="D295" s="2"/>
      <c r="E295" s="1"/>
    </row>
    <row r="296" spans="1:5" ht="14.25" customHeight="1" x14ac:dyDescent="0.25">
      <c r="A296" s="1"/>
      <c r="B296" s="1"/>
      <c r="C296" s="1"/>
      <c r="D296" s="2"/>
      <c r="E296" s="1"/>
    </row>
    <row r="297" spans="1:5" ht="14.25" customHeight="1" x14ac:dyDescent="0.25">
      <c r="A297" s="1"/>
      <c r="B297" s="1"/>
      <c r="C297" s="1"/>
      <c r="D297" s="2"/>
      <c r="E297" s="1"/>
    </row>
    <row r="298" spans="1:5" ht="14.25" customHeight="1" x14ac:dyDescent="0.25">
      <c r="A298" s="1"/>
      <c r="B298" s="1"/>
      <c r="C298" s="1"/>
      <c r="D298" s="2"/>
      <c r="E298" s="1"/>
    </row>
    <row r="299" spans="1:5" ht="14.25" customHeight="1" x14ac:dyDescent="0.25">
      <c r="A299" s="1"/>
      <c r="B299" s="1"/>
      <c r="C299" s="1"/>
      <c r="D299" s="2"/>
      <c r="E299" s="1"/>
    </row>
    <row r="300" spans="1:5" ht="14.25" customHeight="1" x14ac:dyDescent="0.25">
      <c r="A300" s="1"/>
      <c r="B300" s="1"/>
      <c r="C300" s="1"/>
      <c r="D300" s="2"/>
      <c r="E300" s="1"/>
    </row>
    <row r="301" spans="1:5" ht="14.25" customHeight="1" x14ac:dyDescent="0.25">
      <c r="A301" s="1"/>
      <c r="B301" s="1"/>
      <c r="C301" s="1"/>
      <c r="D301" s="2"/>
      <c r="E301" s="1"/>
    </row>
    <row r="302" spans="1:5" ht="14.25" customHeight="1" x14ac:dyDescent="0.25">
      <c r="A302" s="1"/>
      <c r="B302" s="1"/>
      <c r="C302" s="1"/>
      <c r="D302" s="2"/>
      <c r="E302" s="1"/>
    </row>
    <row r="303" spans="1:5" ht="14.25" customHeight="1" x14ac:dyDescent="0.25">
      <c r="A303" s="1"/>
      <c r="B303" s="1"/>
      <c r="C303" s="1"/>
      <c r="D303" s="2"/>
      <c r="E303" s="1"/>
    </row>
    <row r="304" spans="1:5" ht="14.25" customHeight="1" x14ac:dyDescent="0.25">
      <c r="A304" s="1"/>
      <c r="B304" s="1"/>
      <c r="C304" s="1"/>
      <c r="D304" s="2"/>
      <c r="E304" s="1"/>
    </row>
    <row r="305" spans="1:5" ht="14.25" customHeight="1" x14ac:dyDescent="0.25">
      <c r="A305" s="1"/>
      <c r="B305" s="1"/>
      <c r="C305" s="1"/>
      <c r="D305" s="2"/>
      <c r="E305" s="1"/>
    </row>
    <row r="306" spans="1:5" ht="14.25" customHeight="1" x14ac:dyDescent="0.25">
      <c r="A306" s="1"/>
      <c r="B306" s="1"/>
      <c r="C306" s="1"/>
      <c r="D306" s="2"/>
      <c r="E306" s="1"/>
    </row>
    <row r="307" spans="1:5" ht="14.25" customHeight="1" x14ac:dyDescent="0.25">
      <c r="A307" s="1"/>
      <c r="B307" s="1"/>
      <c r="C307" s="1"/>
      <c r="D307" s="2"/>
      <c r="E307" s="1"/>
    </row>
    <row r="308" spans="1:5" ht="14.25" customHeight="1" x14ac:dyDescent="0.25">
      <c r="A308" s="1"/>
      <c r="B308" s="1"/>
      <c r="C308" s="1"/>
      <c r="D308" s="2"/>
      <c r="E308" s="1"/>
    </row>
    <row r="309" spans="1:5" ht="14.25" customHeight="1" x14ac:dyDescent="0.25">
      <c r="A309" s="1"/>
      <c r="B309" s="1"/>
      <c r="C309" s="1"/>
      <c r="D309" s="2"/>
      <c r="E309" s="1"/>
    </row>
    <row r="310" spans="1:5" ht="14.25" customHeight="1" x14ac:dyDescent="0.25">
      <c r="A310" s="1"/>
      <c r="B310" s="1"/>
      <c r="C310" s="1"/>
      <c r="D310" s="2"/>
      <c r="E310" s="1"/>
    </row>
    <row r="311" spans="1:5" ht="14.25" customHeight="1" x14ac:dyDescent="0.25">
      <c r="A311" s="1"/>
      <c r="B311" s="1"/>
      <c r="C311" s="1"/>
      <c r="D311" s="2"/>
      <c r="E311" s="1"/>
    </row>
    <row r="312" spans="1:5" ht="14.25" customHeight="1" x14ac:dyDescent="0.25">
      <c r="A312" s="1"/>
      <c r="B312" s="1"/>
      <c r="C312" s="1"/>
      <c r="D312" s="2"/>
      <c r="E312" s="1"/>
    </row>
    <row r="313" spans="1:5" ht="14.25" customHeight="1" x14ac:dyDescent="0.25">
      <c r="A313" s="1"/>
      <c r="B313" s="1"/>
      <c r="C313" s="1"/>
      <c r="D313" s="2"/>
      <c r="E313" s="1"/>
    </row>
    <row r="314" spans="1:5" ht="14.25" customHeight="1" x14ac:dyDescent="0.25">
      <c r="A314" s="1"/>
      <c r="B314" s="1"/>
      <c r="C314" s="1"/>
      <c r="D314" s="2"/>
      <c r="E314" s="1"/>
    </row>
    <row r="315" spans="1:5" ht="14.25" customHeight="1" x14ac:dyDescent="0.25">
      <c r="A315" s="1"/>
      <c r="B315" s="1"/>
      <c r="C315" s="1"/>
      <c r="D315" s="2"/>
      <c r="E315" s="1"/>
    </row>
    <row r="316" spans="1:5" ht="14.25" customHeight="1" x14ac:dyDescent="0.25">
      <c r="A316" s="1"/>
      <c r="B316" s="1"/>
      <c r="C316" s="1"/>
      <c r="D316" s="2"/>
      <c r="E316" s="1"/>
    </row>
    <row r="317" spans="1:5" ht="14.25" customHeight="1" x14ac:dyDescent="0.25">
      <c r="A317" s="1"/>
      <c r="B317" s="1"/>
      <c r="C317" s="1"/>
      <c r="D317" s="2"/>
      <c r="E317" s="1"/>
    </row>
    <row r="318" spans="1:5" ht="14.25" customHeight="1" x14ac:dyDescent="0.25">
      <c r="A318" s="1"/>
      <c r="B318" s="1"/>
      <c r="C318" s="1"/>
      <c r="D318" s="2"/>
      <c r="E318" s="1"/>
    </row>
    <row r="319" spans="1:5" ht="14.25" customHeight="1" x14ac:dyDescent="0.25">
      <c r="A319" s="1"/>
      <c r="B319" s="1"/>
      <c r="C319" s="1"/>
      <c r="D319" s="2"/>
      <c r="E319" s="1"/>
    </row>
    <row r="320" spans="1:5" ht="14.25" customHeight="1" x14ac:dyDescent="0.25">
      <c r="A320" s="1"/>
      <c r="B320" s="1"/>
      <c r="C320" s="1"/>
      <c r="D320" s="2"/>
      <c r="E320" s="1"/>
    </row>
    <row r="321" spans="1:5" ht="14.25" customHeight="1" x14ac:dyDescent="0.25">
      <c r="A321" s="1"/>
      <c r="B321" s="1"/>
      <c r="C321" s="1"/>
      <c r="D321" s="2"/>
      <c r="E321" s="1"/>
    </row>
    <row r="322" spans="1:5" ht="14.25" customHeight="1" x14ac:dyDescent="0.25">
      <c r="A322" s="1"/>
      <c r="B322" s="1"/>
      <c r="C322" s="1"/>
      <c r="D322" s="2"/>
      <c r="E322" s="1"/>
    </row>
    <row r="323" spans="1:5" ht="14.25" customHeight="1" x14ac:dyDescent="0.25">
      <c r="A323" s="1"/>
      <c r="B323" s="1"/>
      <c r="C323" s="1"/>
      <c r="D323" s="2"/>
      <c r="E323" s="1"/>
    </row>
    <row r="324" spans="1:5" ht="14.25" customHeight="1" x14ac:dyDescent="0.25">
      <c r="A324" s="1"/>
      <c r="B324" s="1"/>
      <c r="C324" s="1"/>
      <c r="D324" s="2"/>
      <c r="E324" s="1"/>
    </row>
    <row r="325" spans="1:5" ht="14.25" customHeight="1" x14ac:dyDescent="0.25">
      <c r="A325" s="1"/>
      <c r="B325" s="1"/>
      <c r="C325" s="1"/>
      <c r="D325" s="2"/>
      <c r="E325" s="1"/>
    </row>
    <row r="326" spans="1:5" ht="14.25" customHeight="1" x14ac:dyDescent="0.25">
      <c r="A326" s="1"/>
      <c r="B326" s="1"/>
      <c r="C326" s="1"/>
      <c r="D326" s="2"/>
      <c r="E326" s="1"/>
    </row>
    <row r="327" spans="1:5" ht="14.25" customHeight="1" x14ac:dyDescent="0.25">
      <c r="A327" s="1"/>
      <c r="B327" s="1"/>
      <c r="C327" s="1"/>
      <c r="D327" s="2"/>
      <c r="E327" s="1"/>
    </row>
    <row r="328" spans="1:5" ht="14.25" customHeight="1" x14ac:dyDescent="0.25">
      <c r="A328" s="1"/>
      <c r="B328" s="1"/>
      <c r="C328" s="1"/>
      <c r="D328" s="2"/>
      <c r="E328" s="1"/>
    </row>
    <row r="329" spans="1:5" ht="14.25" customHeight="1" x14ac:dyDescent="0.25">
      <c r="A329" s="1"/>
      <c r="B329" s="1"/>
      <c r="C329" s="1"/>
      <c r="D329" s="2"/>
      <c r="E329" s="1"/>
    </row>
    <row r="330" spans="1:5" ht="14.25" customHeight="1" x14ac:dyDescent="0.25">
      <c r="A330" s="1"/>
      <c r="B330" s="1"/>
      <c r="C330" s="1"/>
      <c r="D330" s="2"/>
      <c r="E330" s="1"/>
    </row>
    <row r="331" spans="1:5" ht="14.25" customHeight="1" x14ac:dyDescent="0.25">
      <c r="A331" s="1"/>
      <c r="B331" s="1"/>
      <c r="C331" s="1"/>
      <c r="D331" s="2"/>
      <c r="E331" s="1"/>
    </row>
    <row r="332" spans="1:5" ht="14.25" customHeight="1" x14ac:dyDescent="0.25">
      <c r="A332" s="1"/>
      <c r="B332" s="1"/>
      <c r="C332" s="1"/>
      <c r="D332" s="2"/>
      <c r="E332" s="1"/>
    </row>
    <row r="333" spans="1:5" ht="14.25" customHeight="1" x14ac:dyDescent="0.25">
      <c r="A333" s="1"/>
      <c r="B333" s="1"/>
      <c r="C333" s="1"/>
      <c r="D333" s="2"/>
      <c r="E333" s="1"/>
    </row>
    <row r="334" spans="1:5" ht="14.25" customHeight="1" x14ac:dyDescent="0.25">
      <c r="A334" s="1"/>
      <c r="B334" s="1"/>
      <c r="C334" s="1"/>
      <c r="D334" s="2"/>
      <c r="E334" s="1"/>
    </row>
    <row r="335" spans="1:5" ht="14.25" customHeight="1" x14ac:dyDescent="0.25">
      <c r="A335" s="1"/>
      <c r="B335" s="1"/>
      <c r="C335" s="1"/>
      <c r="D335" s="2"/>
      <c r="E335" s="1"/>
    </row>
    <row r="336" spans="1:5" ht="14.25" customHeight="1" x14ac:dyDescent="0.25">
      <c r="A336" s="1"/>
      <c r="B336" s="1"/>
      <c r="C336" s="1"/>
      <c r="D336" s="2"/>
      <c r="E336" s="1"/>
    </row>
    <row r="337" spans="1:5" ht="14.25" customHeight="1" x14ac:dyDescent="0.25">
      <c r="A337" s="1"/>
      <c r="B337" s="1"/>
      <c r="C337" s="1"/>
      <c r="D337" s="2"/>
      <c r="E337" s="1"/>
    </row>
    <row r="338" spans="1:5" ht="14.25" customHeight="1" x14ac:dyDescent="0.25">
      <c r="A338" s="1"/>
      <c r="B338" s="1"/>
      <c r="C338" s="1"/>
      <c r="D338" s="2"/>
      <c r="E338" s="1"/>
    </row>
    <row r="339" spans="1:5" ht="14.25" customHeight="1" x14ac:dyDescent="0.25">
      <c r="A339" s="1"/>
      <c r="B339" s="1"/>
      <c r="C339" s="1"/>
      <c r="D339" s="2"/>
      <c r="E339" s="1"/>
    </row>
    <row r="340" spans="1:5" ht="14.25" customHeight="1" x14ac:dyDescent="0.25">
      <c r="A340" s="1"/>
      <c r="B340" s="1"/>
      <c r="C340" s="1"/>
      <c r="D340" s="2"/>
      <c r="E340" s="1"/>
    </row>
    <row r="341" spans="1:5" ht="14.25" customHeight="1" x14ac:dyDescent="0.25">
      <c r="A341" s="1"/>
      <c r="B341" s="1"/>
      <c r="C341" s="1"/>
      <c r="D341" s="2"/>
      <c r="E341" s="1"/>
    </row>
    <row r="342" spans="1:5" ht="14.25" customHeight="1" x14ac:dyDescent="0.25">
      <c r="A342" s="1"/>
      <c r="B342" s="1"/>
      <c r="C342" s="1"/>
      <c r="D342" s="2"/>
      <c r="E342" s="1"/>
    </row>
    <row r="343" spans="1:5" ht="14.25" customHeight="1" x14ac:dyDescent="0.25">
      <c r="A343" s="1"/>
      <c r="B343" s="1"/>
      <c r="C343" s="1"/>
      <c r="D343" s="2"/>
      <c r="E343" s="1"/>
    </row>
    <row r="344" spans="1:5" ht="14.25" customHeight="1" x14ac:dyDescent="0.25">
      <c r="A344" s="1"/>
      <c r="B344" s="1"/>
      <c r="C344" s="1"/>
      <c r="D344" s="2"/>
      <c r="E344" s="1"/>
    </row>
    <row r="345" spans="1:5" ht="14.25" customHeight="1" x14ac:dyDescent="0.25">
      <c r="A345" s="1"/>
      <c r="B345" s="1"/>
      <c r="C345" s="1"/>
      <c r="D345" s="2"/>
      <c r="E345" s="1"/>
    </row>
    <row r="346" spans="1:5" ht="14.25" customHeight="1" x14ac:dyDescent="0.25">
      <c r="A346" s="1"/>
      <c r="B346" s="1"/>
      <c r="C346" s="1"/>
      <c r="D346" s="2"/>
      <c r="E346" s="1"/>
    </row>
    <row r="347" spans="1:5" ht="14.25" customHeight="1" x14ac:dyDescent="0.25">
      <c r="A347" s="1"/>
      <c r="B347" s="1"/>
      <c r="C347" s="1"/>
      <c r="D347" s="2"/>
      <c r="E347" s="1"/>
    </row>
    <row r="348" spans="1:5" ht="14.25" customHeight="1" x14ac:dyDescent="0.25">
      <c r="A348" s="1"/>
      <c r="B348" s="1"/>
      <c r="C348" s="1"/>
      <c r="D348" s="2"/>
      <c r="E348" s="1"/>
    </row>
    <row r="349" spans="1:5" ht="14.25" customHeight="1" x14ac:dyDescent="0.25">
      <c r="A349" s="1"/>
      <c r="B349" s="1"/>
      <c r="C349" s="1"/>
      <c r="D349" s="2"/>
      <c r="E349" s="1"/>
    </row>
    <row r="350" spans="1:5" ht="14.25" customHeight="1" x14ac:dyDescent="0.25">
      <c r="A350" s="1"/>
      <c r="B350" s="1"/>
      <c r="C350" s="1"/>
      <c r="D350" s="2"/>
      <c r="E350" s="1"/>
    </row>
    <row r="351" spans="1:5" ht="14.25" customHeight="1" x14ac:dyDescent="0.25">
      <c r="A351" s="1"/>
      <c r="B351" s="1"/>
      <c r="C351" s="1"/>
      <c r="D351" s="2"/>
      <c r="E351" s="1"/>
    </row>
    <row r="352" spans="1:5" ht="14.25" customHeight="1" x14ac:dyDescent="0.25">
      <c r="A352" s="1"/>
      <c r="B352" s="1"/>
      <c r="C352" s="1"/>
      <c r="D352" s="2"/>
      <c r="E352" s="1"/>
    </row>
    <row r="353" spans="1:5" ht="14.25" customHeight="1" x14ac:dyDescent="0.25">
      <c r="A353" s="1"/>
      <c r="B353" s="1"/>
      <c r="C353" s="1"/>
      <c r="D353" s="2"/>
      <c r="E353" s="1"/>
    </row>
    <row r="354" spans="1:5" ht="14.25" customHeight="1" x14ac:dyDescent="0.25">
      <c r="A354" s="1"/>
      <c r="B354" s="1"/>
      <c r="C354" s="1"/>
      <c r="D354" s="2"/>
      <c r="E354" s="1"/>
    </row>
    <row r="355" spans="1:5" ht="14.25" customHeight="1" x14ac:dyDescent="0.25">
      <c r="A355" s="1"/>
      <c r="B355" s="1"/>
      <c r="C355" s="1"/>
      <c r="D355" s="2"/>
      <c r="E355" s="1"/>
    </row>
    <row r="356" spans="1:5" ht="14.25" customHeight="1" x14ac:dyDescent="0.25">
      <c r="A356" s="1"/>
      <c r="B356" s="1"/>
      <c r="C356" s="1"/>
      <c r="D356" s="2"/>
      <c r="E356" s="1"/>
    </row>
    <row r="357" spans="1:5" ht="14.25" customHeight="1" x14ac:dyDescent="0.25">
      <c r="A357" s="1"/>
      <c r="B357" s="1"/>
      <c r="C357" s="1"/>
      <c r="D357" s="2"/>
      <c r="E357" s="1"/>
    </row>
    <row r="358" spans="1:5" ht="14.25" customHeight="1" x14ac:dyDescent="0.25">
      <c r="A358" s="1"/>
      <c r="B358" s="1"/>
      <c r="C358" s="1"/>
      <c r="D358" s="2"/>
      <c r="E358" s="1"/>
    </row>
    <row r="359" spans="1:5" ht="14.25" customHeight="1" x14ac:dyDescent="0.25">
      <c r="A359" s="1"/>
      <c r="B359" s="1"/>
      <c r="C359" s="1"/>
      <c r="D359" s="2"/>
      <c r="E359" s="1"/>
    </row>
    <row r="360" spans="1:5" ht="14.25" customHeight="1" x14ac:dyDescent="0.25">
      <c r="A360" s="1"/>
      <c r="B360" s="1"/>
      <c r="C360" s="1"/>
      <c r="D360" s="2"/>
      <c r="E360" s="1"/>
    </row>
    <row r="361" spans="1:5" ht="14.25" customHeight="1" x14ac:dyDescent="0.25">
      <c r="A361" s="1"/>
      <c r="B361" s="1"/>
      <c r="C361" s="1"/>
      <c r="D361" s="2"/>
      <c r="E361" s="1"/>
    </row>
    <row r="362" spans="1:5" ht="14.25" customHeight="1" x14ac:dyDescent="0.25">
      <c r="A362" s="1"/>
      <c r="B362" s="1"/>
      <c r="C362" s="1"/>
      <c r="D362" s="2"/>
      <c r="E362" s="1"/>
    </row>
    <row r="363" spans="1:5" ht="14.25" customHeight="1" x14ac:dyDescent="0.25">
      <c r="A363" s="1"/>
      <c r="B363" s="1"/>
      <c r="C363" s="1"/>
      <c r="D363" s="2"/>
      <c r="E363" s="1"/>
    </row>
    <row r="364" spans="1:5" ht="14.25" customHeight="1" x14ac:dyDescent="0.25">
      <c r="A364" s="1"/>
      <c r="B364" s="1"/>
      <c r="C364" s="1"/>
      <c r="D364" s="2"/>
      <c r="E364" s="1"/>
    </row>
    <row r="365" spans="1:5" ht="14.25" customHeight="1" x14ac:dyDescent="0.25">
      <c r="A365" s="1"/>
      <c r="B365" s="1"/>
      <c r="C365" s="1"/>
      <c r="D365" s="2"/>
      <c r="E365" s="1"/>
    </row>
    <row r="366" spans="1:5" ht="14.25" customHeight="1" x14ac:dyDescent="0.25">
      <c r="A366" s="1"/>
      <c r="B366" s="1"/>
      <c r="C366" s="1"/>
      <c r="D366" s="2"/>
      <c r="E366" s="1"/>
    </row>
    <row r="367" spans="1:5" ht="14.25" customHeight="1" x14ac:dyDescent="0.25">
      <c r="A367" s="1"/>
      <c r="B367" s="1"/>
      <c r="C367" s="1"/>
      <c r="D367" s="2"/>
      <c r="E367" s="1"/>
    </row>
    <row r="368" spans="1:5" ht="14.25" customHeight="1" x14ac:dyDescent="0.25">
      <c r="A368" s="1"/>
      <c r="B368" s="1"/>
      <c r="C368" s="1"/>
      <c r="D368" s="2"/>
      <c r="E368" s="1"/>
    </row>
    <row r="369" spans="1:5" ht="14.25" customHeight="1" x14ac:dyDescent="0.25">
      <c r="A369" s="1"/>
      <c r="B369" s="1"/>
      <c r="C369" s="1"/>
      <c r="D369" s="2"/>
      <c r="E369" s="1"/>
    </row>
    <row r="370" spans="1:5" ht="14.25" customHeight="1" x14ac:dyDescent="0.25">
      <c r="A370" s="1"/>
      <c r="B370" s="1"/>
      <c r="C370" s="1"/>
      <c r="D370" s="2"/>
      <c r="E370" s="1"/>
    </row>
    <row r="371" spans="1:5" ht="14.25" customHeight="1" x14ac:dyDescent="0.25">
      <c r="A371" s="1"/>
      <c r="B371" s="1"/>
      <c r="C371" s="1"/>
      <c r="D371" s="2"/>
      <c r="E371" s="1"/>
    </row>
    <row r="372" spans="1:5" ht="14.25" customHeight="1" x14ac:dyDescent="0.25">
      <c r="A372" s="1"/>
      <c r="B372" s="1"/>
      <c r="C372" s="1"/>
      <c r="D372" s="2"/>
      <c r="E372" s="1"/>
    </row>
    <row r="373" spans="1:5" ht="14.25" customHeight="1" x14ac:dyDescent="0.25">
      <c r="A373" s="1"/>
      <c r="B373" s="1"/>
      <c r="C373" s="1"/>
      <c r="D373" s="2"/>
      <c r="E373" s="1"/>
    </row>
    <row r="374" spans="1:5" ht="14.25" customHeight="1" x14ac:dyDescent="0.25">
      <c r="A374" s="1"/>
      <c r="B374" s="1"/>
      <c r="C374" s="1"/>
      <c r="D374" s="2"/>
      <c r="E374" s="1"/>
    </row>
    <row r="375" spans="1:5" ht="14.25" customHeight="1" x14ac:dyDescent="0.25">
      <c r="A375" s="1"/>
      <c r="B375" s="1"/>
      <c r="C375" s="1"/>
      <c r="D375" s="2"/>
      <c r="E375" s="1"/>
    </row>
    <row r="376" spans="1:5" ht="14.25" customHeight="1" x14ac:dyDescent="0.25">
      <c r="A376" s="1"/>
      <c r="B376" s="1"/>
      <c r="C376" s="1"/>
      <c r="D376" s="2"/>
      <c r="E376" s="1"/>
    </row>
    <row r="377" spans="1:5" ht="14.25" customHeight="1" x14ac:dyDescent="0.25">
      <c r="A377" s="1"/>
      <c r="B377" s="1"/>
      <c r="C377" s="1"/>
      <c r="D377" s="2"/>
      <c r="E377" s="1"/>
    </row>
    <row r="378" spans="1:5" ht="14.25" customHeight="1" x14ac:dyDescent="0.25">
      <c r="A378" s="1"/>
      <c r="B378" s="1"/>
      <c r="C378" s="1"/>
      <c r="D378" s="2"/>
      <c r="E378" s="1"/>
    </row>
    <row r="379" spans="1:5" ht="14.25" customHeight="1" x14ac:dyDescent="0.25">
      <c r="A379" s="1"/>
      <c r="B379" s="1"/>
      <c r="C379" s="1"/>
      <c r="D379" s="2"/>
      <c r="E379" s="1"/>
    </row>
    <row r="380" spans="1:5" ht="14.25" customHeight="1" x14ac:dyDescent="0.25">
      <c r="A380" s="1"/>
      <c r="B380" s="1"/>
      <c r="C380" s="1"/>
      <c r="D380" s="2"/>
      <c r="E380" s="1"/>
    </row>
    <row r="381" spans="1:5" ht="14.25" customHeight="1" x14ac:dyDescent="0.25">
      <c r="A381" s="1"/>
      <c r="B381" s="1"/>
      <c r="C381" s="1"/>
      <c r="D381" s="2"/>
      <c r="E381" s="1"/>
    </row>
    <row r="382" spans="1:5" ht="14.25" customHeight="1" x14ac:dyDescent="0.25">
      <c r="A382" s="1"/>
      <c r="B382" s="1"/>
      <c r="C382" s="1"/>
      <c r="D382" s="2"/>
      <c r="E382" s="1"/>
    </row>
    <row r="383" spans="1:5" ht="14.25" customHeight="1" x14ac:dyDescent="0.25">
      <c r="A383" s="1"/>
      <c r="B383" s="1"/>
      <c r="C383" s="1"/>
      <c r="D383" s="2"/>
      <c r="E383" s="1"/>
    </row>
    <row r="384" spans="1:5" ht="14.25" customHeight="1" x14ac:dyDescent="0.25">
      <c r="A384" s="1"/>
      <c r="B384" s="1"/>
      <c r="C384" s="1"/>
      <c r="D384" s="2"/>
      <c r="E384" s="1"/>
    </row>
    <row r="385" spans="1:5" ht="14.25" customHeight="1" x14ac:dyDescent="0.25">
      <c r="A385" s="1"/>
      <c r="B385" s="1"/>
      <c r="C385" s="1"/>
      <c r="D385" s="2"/>
      <c r="E385" s="1"/>
    </row>
    <row r="386" spans="1:5" ht="14.25" customHeight="1" x14ac:dyDescent="0.25">
      <c r="A386" s="1"/>
      <c r="B386" s="1"/>
      <c r="C386" s="1"/>
      <c r="D386" s="2"/>
      <c r="E386" s="1"/>
    </row>
    <row r="387" spans="1:5" ht="14.25" customHeight="1" x14ac:dyDescent="0.25">
      <c r="A387" s="1"/>
      <c r="B387" s="1"/>
      <c r="C387" s="1"/>
      <c r="D387" s="2"/>
      <c r="E387" s="1"/>
    </row>
    <row r="388" spans="1:5" ht="14.25" customHeight="1" x14ac:dyDescent="0.25">
      <c r="A388" s="1"/>
      <c r="B388" s="1"/>
      <c r="C388" s="1"/>
      <c r="D388" s="2"/>
      <c r="E388" s="1"/>
    </row>
    <row r="389" spans="1:5" ht="14.25" customHeight="1" x14ac:dyDescent="0.25">
      <c r="A389" s="1"/>
      <c r="B389" s="1"/>
      <c r="C389" s="1"/>
      <c r="D389" s="2"/>
      <c r="E389" s="1"/>
    </row>
    <row r="390" spans="1:5" ht="14.25" customHeight="1" x14ac:dyDescent="0.25">
      <c r="A390" s="1"/>
      <c r="B390" s="1"/>
      <c r="C390" s="1"/>
      <c r="D390" s="2"/>
      <c r="E390" s="1"/>
    </row>
    <row r="391" spans="1:5" ht="14.25" customHeight="1" x14ac:dyDescent="0.25">
      <c r="A391" s="1"/>
      <c r="B391" s="1"/>
      <c r="C391" s="1"/>
      <c r="D391" s="2"/>
      <c r="E391" s="1"/>
    </row>
    <row r="392" spans="1:5" ht="14.25" customHeight="1" x14ac:dyDescent="0.25">
      <c r="A392" s="1"/>
      <c r="B392" s="1"/>
      <c r="C392" s="1"/>
      <c r="D392" s="2"/>
      <c r="E392" s="1"/>
    </row>
    <row r="393" spans="1:5" ht="14.25" customHeight="1" x14ac:dyDescent="0.25">
      <c r="A393" s="1"/>
      <c r="B393" s="1"/>
      <c r="C393" s="1"/>
      <c r="D393" s="2"/>
      <c r="E393" s="1"/>
    </row>
    <row r="394" spans="1:5" ht="14.25" customHeight="1" x14ac:dyDescent="0.25">
      <c r="A394" s="1"/>
      <c r="B394" s="1"/>
      <c r="C394" s="1"/>
      <c r="D394" s="2"/>
      <c r="E394" s="1"/>
    </row>
    <row r="395" spans="1:5" ht="14.25" customHeight="1" x14ac:dyDescent="0.25">
      <c r="A395" s="1"/>
      <c r="B395" s="1"/>
      <c r="C395" s="1"/>
      <c r="D395" s="2"/>
      <c r="E395" s="1"/>
    </row>
    <row r="396" spans="1:5" ht="14.25" customHeight="1" x14ac:dyDescent="0.25">
      <c r="A396" s="1"/>
      <c r="B396" s="1"/>
      <c r="C396" s="1"/>
      <c r="D396" s="2"/>
      <c r="E396" s="1"/>
    </row>
    <row r="397" spans="1:5" ht="14.25" customHeight="1" x14ac:dyDescent="0.25">
      <c r="A397" s="1"/>
      <c r="B397" s="1"/>
      <c r="C397" s="1"/>
      <c r="D397" s="2"/>
      <c r="E397" s="1"/>
    </row>
    <row r="398" spans="1:5" ht="14.25" customHeight="1" x14ac:dyDescent="0.25">
      <c r="A398" s="1"/>
      <c r="B398" s="1"/>
      <c r="C398" s="1"/>
      <c r="D398" s="2"/>
      <c r="E398" s="1"/>
    </row>
    <row r="399" spans="1:5" ht="14.25" customHeight="1" x14ac:dyDescent="0.25">
      <c r="A399" s="1"/>
      <c r="B399" s="1"/>
      <c r="C399" s="1"/>
      <c r="D399" s="2"/>
      <c r="E399" s="1"/>
    </row>
    <row r="400" spans="1:5" ht="14.25" customHeight="1" x14ac:dyDescent="0.25">
      <c r="A400" s="1"/>
      <c r="B400" s="1"/>
      <c r="C400" s="1"/>
      <c r="D400" s="2"/>
      <c r="E400" s="1"/>
    </row>
    <row r="401" spans="1:5" ht="14.25" customHeight="1" x14ac:dyDescent="0.25">
      <c r="A401" s="1"/>
      <c r="B401" s="1"/>
      <c r="C401" s="1"/>
      <c r="D401" s="2"/>
      <c r="E401" s="1"/>
    </row>
    <row r="402" spans="1:5" ht="14.25" customHeight="1" x14ac:dyDescent="0.25">
      <c r="A402" s="1"/>
      <c r="B402" s="1"/>
      <c r="C402" s="1"/>
      <c r="D402" s="2"/>
      <c r="E402" s="1"/>
    </row>
    <row r="403" spans="1:5" ht="14.25" customHeight="1" x14ac:dyDescent="0.25">
      <c r="A403" s="1"/>
      <c r="B403" s="1"/>
      <c r="C403" s="1"/>
      <c r="D403" s="2"/>
      <c r="E403" s="1"/>
    </row>
    <row r="404" spans="1:5" ht="14.25" customHeight="1" x14ac:dyDescent="0.25">
      <c r="A404" s="1"/>
      <c r="B404" s="1"/>
      <c r="C404" s="1"/>
      <c r="D404" s="2"/>
      <c r="E404" s="1"/>
    </row>
    <row r="405" spans="1:5" ht="14.25" customHeight="1" x14ac:dyDescent="0.25">
      <c r="A405" s="1"/>
      <c r="B405" s="1"/>
      <c r="C405" s="1"/>
      <c r="D405" s="2"/>
      <c r="E405" s="1"/>
    </row>
    <row r="406" spans="1:5" ht="14.25" customHeight="1" x14ac:dyDescent="0.25">
      <c r="A406" s="1"/>
      <c r="B406" s="1"/>
      <c r="C406" s="1"/>
      <c r="D406" s="2"/>
      <c r="E406" s="1"/>
    </row>
    <row r="407" spans="1:5" ht="14.25" customHeight="1" x14ac:dyDescent="0.25">
      <c r="A407" s="1"/>
      <c r="B407" s="1"/>
      <c r="C407" s="1"/>
      <c r="D407" s="2"/>
      <c r="E407" s="1"/>
    </row>
    <row r="408" spans="1:5" ht="14.25" customHeight="1" x14ac:dyDescent="0.25">
      <c r="A408" s="1"/>
      <c r="B408" s="1"/>
      <c r="C408" s="1"/>
      <c r="D408" s="2"/>
      <c r="E408" s="1"/>
    </row>
    <row r="409" spans="1:5" ht="14.25" customHeight="1" x14ac:dyDescent="0.25">
      <c r="A409" s="1"/>
      <c r="B409" s="1"/>
      <c r="C409" s="1"/>
      <c r="D409" s="2"/>
      <c r="E409" s="1"/>
    </row>
    <row r="410" spans="1:5" ht="14.25" customHeight="1" x14ac:dyDescent="0.25">
      <c r="A410" s="1"/>
      <c r="B410" s="1"/>
      <c r="C410" s="1"/>
      <c r="D410" s="2"/>
      <c r="E410" s="1"/>
    </row>
    <row r="411" spans="1:5" ht="14.25" customHeight="1" x14ac:dyDescent="0.25">
      <c r="A411" s="1"/>
      <c r="B411" s="1"/>
      <c r="C411" s="1"/>
      <c r="D411" s="2"/>
      <c r="E411" s="1"/>
    </row>
    <row r="412" spans="1:5" ht="14.25" customHeight="1" x14ac:dyDescent="0.25">
      <c r="A412" s="1"/>
      <c r="B412" s="1"/>
      <c r="C412" s="1"/>
      <c r="D412" s="2"/>
      <c r="E412" s="1"/>
    </row>
    <row r="413" spans="1:5" ht="14.25" customHeight="1" x14ac:dyDescent="0.25">
      <c r="A413" s="1"/>
      <c r="B413" s="1"/>
      <c r="C413" s="1"/>
      <c r="D413" s="2"/>
      <c r="E413" s="1"/>
    </row>
    <row r="414" spans="1:5" ht="14.25" customHeight="1" x14ac:dyDescent="0.25">
      <c r="A414" s="1"/>
      <c r="B414" s="1"/>
      <c r="C414" s="1"/>
      <c r="D414" s="2"/>
      <c r="E414" s="1"/>
    </row>
    <row r="415" spans="1:5" ht="14.25" customHeight="1" x14ac:dyDescent="0.25">
      <c r="A415" s="1"/>
      <c r="B415" s="1"/>
      <c r="C415" s="1"/>
      <c r="D415" s="2"/>
      <c r="E415" s="1"/>
    </row>
    <row r="416" spans="1:5" ht="14.25" customHeight="1" x14ac:dyDescent="0.25">
      <c r="A416" s="1"/>
      <c r="B416" s="1"/>
      <c r="C416" s="1"/>
      <c r="D416" s="2"/>
      <c r="E416" s="1"/>
    </row>
    <row r="417" spans="1:5" ht="14.25" customHeight="1" x14ac:dyDescent="0.25">
      <c r="A417" s="1"/>
      <c r="B417" s="1"/>
      <c r="C417" s="1"/>
      <c r="D417" s="2"/>
      <c r="E417" s="1"/>
    </row>
    <row r="418" spans="1:5" ht="14.25" customHeight="1" x14ac:dyDescent="0.25">
      <c r="A418" s="1"/>
      <c r="B418" s="1"/>
      <c r="C418" s="1"/>
      <c r="D418" s="2"/>
      <c r="E418" s="1"/>
    </row>
    <row r="419" spans="1:5" ht="14.25" customHeight="1" x14ac:dyDescent="0.25">
      <c r="A419" s="1"/>
      <c r="B419" s="1"/>
      <c r="C419" s="1"/>
      <c r="D419" s="2"/>
      <c r="E419" s="1"/>
    </row>
    <row r="420" spans="1:5" ht="14.25" customHeight="1" x14ac:dyDescent="0.25">
      <c r="A420" s="1"/>
      <c r="B420" s="1"/>
      <c r="C420" s="1"/>
      <c r="D420" s="2"/>
      <c r="E420" s="1"/>
    </row>
    <row r="421" spans="1:5" ht="14.25" customHeight="1" x14ac:dyDescent="0.25">
      <c r="A421" s="1"/>
      <c r="B421" s="1"/>
      <c r="C421" s="1"/>
      <c r="D421" s="2"/>
      <c r="E421" s="1"/>
    </row>
    <row r="422" spans="1:5" ht="14.25" customHeight="1" x14ac:dyDescent="0.25">
      <c r="A422" s="1"/>
      <c r="B422" s="1"/>
      <c r="C422" s="1"/>
      <c r="D422" s="2"/>
      <c r="E422" s="1"/>
    </row>
    <row r="423" spans="1:5" ht="14.25" customHeight="1" x14ac:dyDescent="0.25">
      <c r="A423" s="1"/>
      <c r="B423" s="1"/>
      <c r="C423" s="1"/>
      <c r="D423" s="2"/>
      <c r="E423" s="1"/>
    </row>
    <row r="424" spans="1:5" ht="14.25" customHeight="1" x14ac:dyDescent="0.25">
      <c r="A424" s="1"/>
      <c r="B424" s="1"/>
      <c r="C424" s="1"/>
      <c r="D424" s="2"/>
      <c r="E424" s="1"/>
    </row>
    <row r="425" spans="1:5" ht="14.25" customHeight="1" x14ac:dyDescent="0.25">
      <c r="A425" s="1"/>
      <c r="B425" s="1"/>
      <c r="C425" s="1"/>
      <c r="D425" s="2"/>
      <c r="E425" s="1"/>
    </row>
    <row r="426" spans="1:5" ht="14.25" customHeight="1" x14ac:dyDescent="0.25">
      <c r="A426" s="1"/>
      <c r="B426" s="1"/>
      <c r="C426" s="1"/>
      <c r="D426" s="2"/>
      <c r="E426" s="1"/>
    </row>
    <row r="427" spans="1:5" ht="14.25" customHeight="1" x14ac:dyDescent="0.25">
      <c r="A427" s="1"/>
      <c r="B427" s="1"/>
      <c r="C427" s="1"/>
      <c r="D427" s="2"/>
      <c r="E427" s="1"/>
    </row>
    <row r="428" spans="1:5" ht="14.25" customHeight="1" x14ac:dyDescent="0.25">
      <c r="A428" s="1"/>
      <c r="B428" s="1"/>
      <c r="C428" s="1"/>
      <c r="D428" s="2"/>
      <c r="E428" s="1"/>
    </row>
    <row r="429" spans="1:5" ht="14.25" customHeight="1" x14ac:dyDescent="0.25">
      <c r="A429" s="1"/>
      <c r="B429" s="1"/>
      <c r="C429" s="1"/>
      <c r="D429" s="2"/>
      <c r="E429" s="1"/>
    </row>
    <row r="430" spans="1:5" ht="14.25" customHeight="1" x14ac:dyDescent="0.25">
      <c r="A430" s="1"/>
      <c r="B430" s="1"/>
      <c r="C430" s="1"/>
      <c r="D430" s="2"/>
      <c r="E430" s="1"/>
    </row>
    <row r="431" spans="1:5" ht="14.25" customHeight="1" x14ac:dyDescent="0.25">
      <c r="A431" s="1"/>
      <c r="B431" s="1"/>
      <c r="C431" s="1"/>
      <c r="D431" s="2"/>
      <c r="E431" s="1"/>
    </row>
    <row r="432" spans="1:5" ht="14.25" customHeight="1" x14ac:dyDescent="0.25">
      <c r="A432" s="1"/>
      <c r="B432" s="1"/>
      <c r="C432" s="1"/>
      <c r="D432" s="2"/>
      <c r="E432" s="1"/>
    </row>
    <row r="433" spans="1:5" ht="14.25" customHeight="1" x14ac:dyDescent="0.25">
      <c r="A433" s="1"/>
      <c r="B433" s="1"/>
      <c r="C433" s="1"/>
      <c r="D433" s="2"/>
      <c r="E433" s="1"/>
    </row>
    <row r="434" spans="1:5" ht="14.25" customHeight="1" x14ac:dyDescent="0.25">
      <c r="A434" s="1"/>
      <c r="B434" s="1"/>
      <c r="C434" s="1"/>
      <c r="D434" s="2"/>
      <c r="E434" s="1"/>
    </row>
    <row r="435" spans="1:5" ht="14.25" customHeight="1" x14ac:dyDescent="0.25">
      <c r="A435" s="1"/>
      <c r="B435" s="1"/>
      <c r="C435" s="1"/>
      <c r="D435" s="2"/>
      <c r="E435" s="1"/>
    </row>
    <row r="436" spans="1:5" ht="14.25" customHeight="1" x14ac:dyDescent="0.25">
      <c r="A436" s="1"/>
      <c r="B436" s="1"/>
      <c r="C436" s="1"/>
      <c r="D436" s="2"/>
      <c r="E436" s="1"/>
    </row>
    <row r="437" spans="1:5" ht="14.25" customHeight="1" x14ac:dyDescent="0.25">
      <c r="A437" s="1"/>
      <c r="B437" s="1"/>
      <c r="C437" s="1"/>
      <c r="D437" s="2"/>
      <c r="E437" s="1"/>
    </row>
    <row r="438" spans="1:5" ht="14.25" customHeight="1" x14ac:dyDescent="0.25">
      <c r="A438" s="1"/>
      <c r="B438" s="1"/>
      <c r="C438" s="1"/>
      <c r="D438" s="2"/>
      <c r="E438" s="1"/>
    </row>
    <row r="439" spans="1:5" ht="14.25" customHeight="1" x14ac:dyDescent="0.25">
      <c r="A439" s="1"/>
      <c r="B439" s="1"/>
      <c r="C439" s="1"/>
      <c r="D439" s="2"/>
      <c r="E439" s="1"/>
    </row>
    <row r="440" spans="1:5" ht="14.25" customHeight="1" x14ac:dyDescent="0.25">
      <c r="A440" s="1"/>
      <c r="B440" s="1"/>
      <c r="C440" s="1"/>
      <c r="D440" s="2"/>
      <c r="E440" s="1"/>
    </row>
    <row r="441" spans="1:5" ht="14.25" customHeight="1" x14ac:dyDescent="0.25">
      <c r="A441" s="1"/>
      <c r="B441" s="1"/>
      <c r="C441" s="1"/>
      <c r="D441" s="2"/>
      <c r="E441" s="1"/>
    </row>
    <row r="442" spans="1:5" ht="14.25" customHeight="1" x14ac:dyDescent="0.25">
      <c r="A442" s="1"/>
      <c r="B442" s="1"/>
      <c r="C442" s="1"/>
      <c r="D442" s="2"/>
      <c r="E442" s="1"/>
    </row>
    <row r="443" spans="1:5" ht="14.25" customHeight="1" x14ac:dyDescent="0.25">
      <c r="A443" s="1"/>
      <c r="B443" s="1"/>
      <c r="C443" s="1"/>
      <c r="D443" s="2"/>
      <c r="E443" s="1"/>
    </row>
    <row r="444" spans="1:5" ht="14.25" customHeight="1" x14ac:dyDescent="0.25">
      <c r="A444" s="1"/>
      <c r="B444" s="1"/>
      <c r="C444" s="1"/>
      <c r="D444" s="2"/>
      <c r="E444" s="1"/>
    </row>
    <row r="445" spans="1:5" ht="14.25" customHeight="1" x14ac:dyDescent="0.25">
      <c r="A445" s="1"/>
      <c r="B445" s="1"/>
      <c r="C445" s="1"/>
      <c r="D445" s="2"/>
      <c r="E445" s="1"/>
    </row>
    <row r="446" spans="1:5" ht="14.25" customHeight="1" x14ac:dyDescent="0.25">
      <c r="A446" s="1"/>
      <c r="B446" s="1"/>
      <c r="C446" s="1"/>
      <c r="D446" s="2"/>
      <c r="E446" s="1"/>
    </row>
    <row r="447" spans="1:5" ht="14.25" customHeight="1" x14ac:dyDescent="0.25">
      <c r="A447" s="1"/>
      <c r="B447" s="1"/>
      <c r="C447" s="1"/>
      <c r="D447" s="2"/>
      <c r="E447" s="1"/>
    </row>
    <row r="448" spans="1:5" ht="14.25" customHeight="1" x14ac:dyDescent="0.25">
      <c r="A448" s="1"/>
      <c r="B448" s="1"/>
      <c r="C448" s="1"/>
      <c r="D448" s="2"/>
      <c r="E448" s="1"/>
    </row>
    <row r="449" spans="1:5" ht="14.25" customHeight="1" x14ac:dyDescent="0.25">
      <c r="A449" s="1"/>
      <c r="B449" s="1"/>
      <c r="C449" s="1"/>
      <c r="D449" s="2"/>
      <c r="E449" s="1"/>
    </row>
    <row r="450" spans="1:5" ht="14.25" customHeight="1" x14ac:dyDescent="0.25">
      <c r="A450" s="1"/>
      <c r="B450" s="1"/>
      <c r="C450" s="1"/>
      <c r="D450" s="2"/>
      <c r="E450" s="1"/>
    </row>
    <row r="451" spans="1:5" ht="14.25" customHeight="1" x14ac:dyDescent="0.25">
      <c r="A451" s="1"/>
      <c r="B451" s="1"/>
      <c r="C451" s="1"/>
      <c r="D451" s="2"/>
      <c r="E451" s="1"/>
    </row>
    <row r="452" spans="1:5" ht="14.25" customHeight="1" x14ac:dyDescent="0.25">
      <c r="A452" s="1"/>
      <c r="B452" s="1"/>
      <c r="C452" s="1"/>
      <c r="D452" s="2"/>
      <c r="E452" s="1"/>
    </row>
    <row r="453" spans="1:5" ht="14.25" customHeight="1" x14ac:dyDescent="0.25">
      <c r="A453" s="1"/>
      <c r="B453" s="1"/>
      <c r="C453" s="1"/>
      <c r="D453" s="2"/>
      <c r="E453" s="1"/>
    </row>
    <row r="454" spans="1:5" ht="14.25" customHeight="1" x14ac:dyDescent="0.25">
      <c r="A454" s="1"/>
      <c r="B454" s="1"/>
      <c r="C454" s="1"/>
      <c r="D454" s="2"/>
      <c r="E454" s="1"/>
    </row>
    <row r="455" spans="1:5" ht="14.25" customHeight="1" x14ac:dyDescent="0.25">
      <c r="A455" s="1"/>
      <c r="B455" s="1"/>
      <c r="C455" s="1"/>
      <c r="D455" s="2"/>
      <c r="E455" s="1"/>
    </row>
    <row r="456" spans="1:5" ht="14.25" customHeight="1" x14ac:dyDescent="0.25">
      <c r="A456" s="1"/>
      <c r="B456" s="1"/>
      <c r="C456" s="1"/>
      <c r="D456" s="2"/>
      <c r="E456" s="1"/>
    </row>
    <row r="457" spans="1:5" ht="14.25" customHeight="1" x14ac:dyDescent="0.25">
      <c r="A457" s="1"/>
      <c r="B457" s="1"/>
      <c r="C457" s="1"/>
      <c r="D457" s="2"/>
      <c r="E457" s="1"/>
    </row>
    <row r="458" spans="1:5" ht="14.25" customHeight="1" x14ac:dyDescent="0.25">
      <c r="A458" s="1"/>
      <c r="B458" s="1"/>
      <c r="C458" s="1"/>
      <c r="D458" s="2"/>
      <c r="E458" s="1"/>
    </row>
    <row r="459" spans="1:5" ht="14.25" customHeight="1" x14ac:dyDescent="0.25">
      <c r="A459" s="1"/>
      <c r="B459" s="1"/>
      <c r="C459" s="1"/>
      <c r="D459" s="2"/>
      <c r="E459" s="1"/>
    </row>
    <row r="460" spans="1:5" ht="14.25" customHeight="1" x14ac:dyDescent="0.25">
      <c r="A460" s="1"/>
      <c r="B460" s="1"/>
      <c r="C460" s="1"/>
      <c r="D460" s="2"/>
      <c r="E460" s="1"/>
    </row>
    <row r="461" spans="1:5" ht="14.25" customHeight="1" x14ac:dyDescent="0.25">
      <c r="A461" s="1"/>
      <c r="B461" s="1"/>
      <c r="C461" s="1"/>
      <c r="D461" s="2"/>
      <c r="E461" s="1"/>
    </row>
    <row r="462" spans="1:5" ht="14.25" customHeight="1" x14ac:dyDescent="0.25">
      <c r="A462" s="1"/>
      <c r="B462" s="1"/>
      <c r="C462" s="1"/>
      <c r="D462" s="2"/>
      <c r="E462" s="1"/>
    </row>
    <row r="463" spans="1:5" ht="14.25" customHeight="1" x14ac:dyDescent="0.25">
      <c r="A463" s="1"/>
      <c r="B463" s="1"/>
      <c r="C463" s="1"/>
      <c r="D463" s="2"/>
      <c r="E463" s="1"/>
    </row>
    <row r="464" spans="1:5" ht="14.25" customHeight="1" x14ac:dyDescent="0.25">
      <c r="A464" s="1"/>
      <c r="B464" s="1"/>
      <c r="C464" s="1"/>
      <c r="D464" s="2"/>
      <c r="E464" s="1"/>
    </row>
    <row r="465" spans="1:5" ht="14.25" customHeight="1" x14ac:dyDescent="0.25">
      <c r="A465" s="1"/>
      <c r="B465" s="1"/>
      <c r="C465" s="1"/>
      <c r="D465" s="2"/>
      <c r="E465" s="1"/>
    </row>
    <row r="466" spans="1:5" ht="14.25" customHeight="1" x14ac:dyDescent="0.25">
      <c r="A466" s="1"/>
      <c r="B466" s="1"/>
      <c r="C466" s="1"/>
      <c r="D466" s="2"/>
      <c r="E466" s="1"/>
    </row>
    <row r="467" spans="1:5" ht="14.25" customHeight="1" x14ac:dyDescent="0.25">
      <c r="A467" s="1"/>
      <c r="B467" s="1"/>
      <c r="C467" s="1"/>
      <c r="D467" s="2"/>
      <c r="E467" s="1"/>
    </row>
    <row r="468" spans="1:5" ht="14.25" customHeight="1" x14ac:dyDescent="0.25">
      <c r="A468" s="1"/>
      <c r="B468" s="1"/>
      <c r="C468" s="1"/>
      <c r="D468" s="2"/>
      <c r="E468" s="1"/>
    </row>
    <row r="469" spans="1:5" ht="14.25" customHeight="1" x14ac:dyDescent="0.25">
      <c r="A469" s="1"/>
      <c r="B469" s="1"/>
      <c r="C469" s="1"/>
      <c r="D469" s="2"/>
      <c r="E469" s="1"/>
    </row>
    <row r="470" spans="1:5" ht="14.25" customHeight="1" x14ac:dyDescent="0.25">
      <c r="A470" s="1"/>
      <c r="B470" s="1"/>
      <c r="C470" s="1"/>
      <c r="D470" s="2"/>
      <c r="E470" s="1"/>
    </row>
    <row r="471" spans="1:5" ht="14.25" customHeight="1" x14ac:dyDescent="0.25">
      <c r="A471" s="1"/>
      <c r="B471" s="1"/>
      <c r="C471" s="1"/>
      <c r="D471" s="2"/>
      <c r="E471" s="1"/>
    </row>
    <row r="472" spans="1:5" ht="14.25" customHeight="1" x14ac:dyDescent="0.25">
      <c r="A472" s="1"/>
      <c r="B472" s="1"/>
      <c r="C472" s="1"/>
      <c r="D472" s="2"/>
      <c r="E472" s="1"/>
    </row>
    <row r="473" spans="1:5" ht="14.25" customHeight="1" x14ac:dyDescent="0.25">
      <c r="A473" s="1"/>
      <c r="B473" s="1"/>
      <c r="C473" s="1"/>
      <c r="D473" s="2"/>
      <c r="E473" s="1"/>
    </row>
    <row r="474" spans="1:5" ht="14.25" customHeight="1" x14ac:dyDescent="0.25">
      <c r="A474" s="1"/>
      <c r="B474" s="1"/>
      <c r="C474" s="1"/>
      <c r="D474" s="2"/>
      <c r="E474" s="1"/>
    </row>
    <row r="475" spans="1:5" ht="14.25" customHeight="1" x14ac:dyDescent="0.25">
      <c r="A475" s="1"/>
      <c r="B475" s="1"/>
      <c r="C475" s="1"/>
      <c r="D475" s="2"/>
      <c r="E475" s="1"/>
    </row>
    <row r="476" spans="1:5" ht="14.25" customHeight="1" x14ac:dyDescent="0.25">
      <c r="A476" s="1"/>
      <c r="B476" s="1"/>
      <c r="C476" s="1"/>
      <c r="D476" s="2"/>
      <c r="E476" s="1"/>
    </row>
    <row r="477" spans="1:5" ht="14.25" customHeight="1" x14ac:dyDescent="0.25">
      <c r="A477" s="1"/>
      <c r="B477" s="1"/>
      <c r="C477" s="1"/>
      <c r="D477" s="2"/>
      <c r="E477" s="1"/>
    </row>
    <row r="478" spans="1:5" ht="14.25" customHeight="1" x14ac:dyDescent="0.25">
      <c r="A478" s="1"/>
      <c r="B478" s="1"/>
      <c r="C478" s="1"/>
      <c r="D478" s="2"/>
      <c r="E478" s="1"/>
    </row>
    <row r="479" spans="1:5" ht="14.25" customHeight="1" x14ac:dyDescent="0.25">
      <c r="A479" s="1"/>
      <c r="B479" s="1"/>
      <c r="C479" s="1"/>
      <c r="D479" s="2"/>
      <c r="E479" s="1"/>
    </row>
    <row r="480" spans="1:5" ht="14.25" customHeight="1" x14ac:dyDescent="0.25">
      <c r="A480" s="1"/>
      <c r="B480" s="1"/>
      <c r="C480" s="1"/>
      <c r="D480" s="2"/>
      <c r="E480" s="1"/>
    </row>
    <row r="481" spans="1:5" ht="14.25" customHeight="1" x14ac:dyDescent="0.25">
      <c r="A481" s="1"/>
      <c r="B481" s="1"/>
      <c r="C481" s="1"/>
      <c r="D481" s="2"/>
      <c r="E481" s="1"/>
    </row>
    <row r="482" spans="1:5" ht="14.25" customHeight="1" x14ac:dyDescent="0.25">
      <c r="A482" s="1"/>
      <c r="B482" s="1"/>
      <c r="C482" s="1"/>
      <c r="D482" s="2"/>
      <c r="E482" s="1"/>
    </row>
    <row r="483" spans="1:5" ht="14.25" customHeight="1" x14ac:dyDescent="0.25">
      <c r="A483" s="1"/>
      <c r="B483" s="1"/>
      <c r="C483" s="1"/>
      <c r="D483" s="2"/>
      <c r="E483" s="1"/>
    </row>
    <row r="484" spans="1:5" ht="14.25" customHeight="1" x14ac:dyDescent="0.25">
      <c r="A484" s="1"/>
      <c r="B484" s="1"/>
      <c r="C484" s="1"/>
      <c r="D484" s="2"/>
      <c r="E484" s="1"/>
    </row>
    <row r="485" spans="1:5" ht="14.25" customHeight="1" x14ac:dyDescent="0.25">
      <c r="A485" s="1"/>
      <c r="B485" s="1"/>
      <c r="C485" s="1"/>
      <c r="D485" s="2"/>
      <c r="E485" s="1"/>
    </row>
    <row r="486" spans="1:5" ht="14.25" customHeight="1" x14ac:dyDescent="0.25">
      <c r="A486" s="1"/>
      <c r="B486" s="1"/>
      <c r="C486" s="1"/>
      <c r="D486" s="2"/>
      <c r="E486" s="1"/>
    </row>
    <row r="487" spans="1:5" ht="14.25" customHeight="1" x14ac:dyDescent="0.25">
      <c r="A487" s="1"/>
      <c r="B487" s="1"/>
      <c r="C487" s="1"/>
      <c r="D487" s="2"/>
      <c r="E487" s="1"/>
    </row>
    <row r="488" spans="1:5" ht="14.25" customHeight="1" x14ac:dyDescent="0.25">
      <c r="A488" s="1"/>
      <c r="B488" s="1"/>
      <c r="C488" s="1"/>
      <c r="D488" s="2"/>
      <c r="E488" s="1"/>
    </row>
    <row r="489" spans="1:5" ht="14.25" customHeight="1" x14ac:dyDescent="0.25">
      <c r="A489" s="1"/>
      <c r="B489" s="1"/>
      <c r="C489" s="1"/>
      <c r="D489" s="2"/>
      <c r="E489" s="1"/>
    </row>
    <row r="490" spans="1:5" ht="14.25" customHeight="1" x14ac:dyDescent="0.25">
      <c r="A490" s="1"/>
      <c r="B490" s="1"/>
      <c r="C490" s="1"/>
      <c r="D490" s="2"/>
      <c r="E490" s="1"/>
    </row>
    <row r="491" spans="1:5" ht="14.25" customHeight="1" x14ac:dyDescent="0.25">
      <c r="A491" s="1"/>
      <c r="B491" s="1"/>
      <c r="C491" s="1"/>
      <c r="D491" s="2"/>
      <c r="E491" s="1"/>
    </row>
    <row r="492" spans="1:5" ht="14.25" customHeight="1" x14ac:dyDescent="0.25">
      <c r="A492" s="1"/>
      <c r="B492" s="1"/>
      <c r="C492" s="1"/>
      <c r="D492" s="2"/>
      <c r="E492" s="1"/>
    </row>
    <row r="493" spans="1:5" ht="14.25" customHeight="1" x14ac:dyDescent="0.25">
      <c r="A493" s="1"/>
      <c r="B493" s="1"/>
      <c r="C493" s="1"/>
      <c r="D493" s="2"/>
      <c r="E493" s="1"/>
    </row>
    <row r="494" spans="1:5" ht="14.25" customHeight="1" x14ac:dyDescent="0.25">
      <c r="A494" s="1"/>
      <c r="B494" s="1"/>
      <c r="C494" s="1"/>
      <c r="D494" s="2"/>
      <c r="E494" s="1"/>
    </row>
    <row r="495" spans="1:5" ht="14.25" customHeight="1" x14ac:dyDescent="0.25">
      <c r="A495" s="1"/>
      <c r="B495" s="1"/>
      <c r="C495" s="1"/>
      <c r="D495" s="2"/>
      <c r="E495" s="1"/>
    </row>
    <row r="496" spans="1:5" ht="14.25" customHeight="1" x14ac:dyDescent="0.25">
      <c r="A496" s="1"/>
      <c r="B496" s="1"/>
      <c r="C496" s="1"/>
      <c r="D496" s="2"/>
      <c r="E496" s="1"/>
    </row>
    <row r="497" spans="1:5" ht="14.25" customHeight="1" x14ac:dyDescent="0.25">
      <c r="A497" s="1"/>
      <c r="B497" s="1"/>
      <c r="C497" s="1"/>
      <c r="D497" s="2"/>
      <c r="E497" s="1"/>
    </row>
    <row r="498" spans="1:5" ht="14.25" customHeight="1" x14ac:dyDescent="0.25">
      <c r="A498" s="1"/>
      <c r="B498" s="1"/>
      <c r="C498" s="1"/>
      <c r="D498" s="2"/>
      <c r="E498" s="1"/>
    </row>
    <row r="499" spans="1:5" ht="14.25" customHeight="1" x14ac:dyDescent="0.25">
      <c r="A499" s="1"/>
      <c r="B499" s="1"/>
      <c r="C499" s="1"/>
      <c r="D499" s="2"/>
      <c r="E499" s="1"/>
    </row>
    <row r="500" spans="1:5" ht="14.25" customHeight="1" x14ac:dyDescent="0.25">
      <c r="A500" s="1"/>
      <c r="B500" s="1"/>
      <c r="C500" s="1"/>
      <c r="D500" s="2"/>
      <c r="E500" s="1"/>
    </row>
    <row r="501" spans="1:5" ht="14.25" customHeight="1" x14ac:dyDescent="0.25">
      <c r="A501" s="1"/>
      <c r="B501" s="1"/>
      <c r="C501" s="1"/>
      <c r="D501" s="2"/>
      <c r="E501" s="1"/>
    </row>
    <row r="502" spans="1:5" ht="14.25" customHeight="1" x14ac:dyDescent="0.25">
      <c r="A502" s="1"/>
      <c r="B502" s="1"/>
      <c r="C502" s="1"/>
      <c r="D502" s="2"/>
      <c r="E502" s="1"/>
    </row>
    <row r="503" spans="1:5" ht="14.25" customHeight="1" x14ac:dyDescent="0.25">
      <c r="A503" s="1"/>
      <c r="B503" s="1"/>
      <c r="C503" s="1"/>
      <c r="D503" s="2"/>
      <c r="E503" s="1"/>
    </row>
    <row r="504" spans="1:5" ht="14.25" customHeight="1" x14ac:dyDescent="0.25">
      <c r="A504" s="1"/>
      <c r="B504" s="1"/>
      <c r="C504" s="1"/>
      <c r="D504" s="2"/>
      <c r="E504" s="1"/>
    </row>
    <row r="505" spans="1:5" ht="14.25" customHeight="1" x14ac:dyDescent="0.25">
      <c r="A505" s="1"/>
      <c r="B505" s="1"/>
      <c r="C505" s="1"/>
      <c r="D505" s="2"/>
      <c r="E505" s="1"/>
    </row>
    <row r="506" spans="1:5" ht="14.25" customHeight="1" x14ac:dyDescent="0.25">
      <c r="A506" s="1"/>
      <c r="B506" s="1"/>
      <c r="C506" s="1"/>
      <c r="D506" s="2"/>
      <c r="E506" s="1"/>
    </row>
    <row r="507" spans="1:5" ht="14.25" customHeight="1" x14ac:dyDescent="0.25">
      <c r="A507" s="1"/>
      <c r="B507" s="1"/>
      <c r="C507" s="1"/>
      <c r="D507" s="2"/>
      <c r="E507" s="1"/>
    </row>
    <row r="508" spans="1:5" ht="14.25" customHeight="1" x14ac:dyDescent="0.25">
      <c r="A508" s="1"/>
      <c r="B508" s="1"/>
      <c r="C508" s="1"/>
      <c r="D508" s="2"/>
      <c r="E508" s="1"/>
    </row>
    <row r="509" spans="1:5" ht="14.25" customHeight="1" x14ac:dyDescent="0.25">
      <c r="A509" s="1"/>
      <c r="B509" s="1"/>
      <c r="C509" s="1"/>
      <c r="D509" s="2"/>
      <c r="E509" s="1"/>
    </row>
    <row r="510" spans="1:5" ht="14.25" customHeight="1" x14ac:dyDescent="0.25">
      <c r="A510" s="1"/>
      <c r="B510" s="1"/>
      <c r="C510" s="1"/>
      <c r="D510" s="2"/>
      <c r="E510" s="1"/>
    </row>
    <row r="511" spans="1:5" ht="14.25" customHeight="1" x14ac:dyDescent="0.25">
      <c r="A511" s="1"/>
      <c r="B511" s="1"/>
      <c r="C511" s="1"/>
      <c r="D511" s="2"/>
      <c r="E511" s="1"/>
    </row>
    <row r="512" spans="1:5" ht="14.25" customHeight="1" x14ac:dyDescent="0.25">
      <c r="A512" s="1"/>
      <c r="B512" s="1"/>
      <c r="C512" s="1"/>
      <c r="D512" s="2"/>
      <c r="E512" s="1"/>
    </row>
    <row r="513" spans="1:5" ht="14.25" customHeight="1" x14ac:dyDescent="0.25">
      <c r="A513" s="1"/>
      <c r="B513" s="1"/>
      <c r="C513" s="1"/>
      <c r="D513" s="2"/>
      <c r="E513" s="1"/>
    </row>
    <row r="514" spans="1:5" ht="14.25" customHeight="1" x14ac:dyDescent="0.25">
      <c r="A514" s="1"/>
      <c r="B514" s="1"/>
      <c r="C514" s="1"/>
      <c r="D514" s="2"/>
      <c r="E514" s="1"/>
    </row>
    <row r="515" spans="1:5" ht="14.25" customHeight="1" x14ac:dyDescent="0.25">
      <c r="A515" s="1"/>
      <c r="B515" s="1"/>
      <c r="C515" s="1"/>
      <c r="D515" s="2"/>
      <c r="E515" s="1"/>
    </row>
    <row r="516" spans="1:5" ht="14.25" customHeight="1" x14ac:dyDescent="0.25">
      <c r="A516" s="1"/>
      <c r="B516" s="1"/>
      <c r="C516" s="1"/>
      <c r="D516" s="2"/>
      <c r="E516" s="1"/>
    </row>
    <row r="517" spans="1:5" ht="14.25" customHeight="1" x14ac:dyDescent="0.25">
      <c r="A517" s="1"/>
      <c r="B517" s="1"/>
      <c r="C517" s="1"/>
      <c r="D517" s="2"/>
      <c r="E517" s="1"/>
    </row>
    <row r="518" spans="1:5" ht="14.25" customHeight="1" x14ac:dyDescent="0.25">
      <c r="A518" s="1"/>
      <c r="B518" s="1"/>
      <c r="C518" s="1"/>
      <c r="D518" s="2"/>
      <c r="E518" s="1"/>
    </row>
    <row r="519" spans="1:5" ht="14.25" customHeight="1" x14ac:dyDescent="0.25">
      <c r="A519" s="1"/>
      <c r="B519" s="1"/>
      <c r="C519" s="1"/>
      <c r="D519" s="2"/>
      <c r="E519" s="1"/>
    </row>
    <row r="520" spans="1:5" ht="14.25" customHeight="1" x14ac:dyDescent="0.25">
      <c r="A520" s="1"/>
      <c r="B520" s="1"/>
      <c r="C520" s="1"/>
      <c r="D520" s="2"/>
      <c r="E520" s="1"/>
    </row>
    <row r="521" spans="1:5" ht="14.25" customHeight="1" x14ac:dyDescent="0.25">
      <c r="A521" s="1"/>
      <c r="B521" s="1"/>
      <c r="C521" s="1"/>
      <c r="D521" s="2"/>
      <c r="E521" s="1"/>
    </row>
    <row r="522" spans="1:5" ht="14.25" customHeight="1" x14ac:dyDescent="0.25">
      <c r="A522" s="1"/>
      <c r="B522" s="1"/>
      <c r="C522" s="1"/>
      <c r="D522" s="2"/>
      <c r="E522" s="1"/>
    </row>
    <row r="523" spans="1:5" ht="14.25" customHeight="1" x14ac:dyDescent="0.25">
      <c r="A523" s="1"/>
      <c r="B523" s="1"/>
      <c r="C523" s="1"/>
      <c r="D523" s="2"/>
      <c r="E523" s="1"/>
    </row>
    <row r="524" spans="1:5" ht="14.25" customHeight="1" x14ac:dyDescent="0.25">
      <c r="A524" s="1"/>
      <c r="B524" s="1"/>
      <c r="C524" s="1"/>
      <c r="D524" s="2"/>
      <c r="E524" s="1"/>
    </row>
    <row r="525" spans="1:5" ht="14.25" customHeight="1" x14ac:dyDescent="0.25">
      <c r="A525" s="1"/>
      <c r="B525" s="1"/>
      <c r="C525" s="1"/>
      <c r="D525" s="2"/>
      <c r="E525" s="1"/>
    </row>
    <row r="526" spans="1:5" ht="14.25" customHeight="1" x14ac:dyDescent="0.25">
      <c r="A526" s="1"/>
      <c r="B526" s="1"/>
      <c r="C526" s="1"/>
      <c r="D526" s="2"/>
      <c r="E526" s="1"/>
    </row>
    <row r="527" spans="1:5" ht="14.25" customHeight="1" x14ac:dyDescent="0.25">
      <c r="A527" s="1"/>
      <c r="B527" s="1"/>
      <c r="C527" s="1"/>
      <c r="D527" s="2"/>
      <c r="E527" s="1"/>
    </row>
    <row r="528" spans="1:5" ht="14.25" customHeight="1" x14ac:dyDescent="0.25">
      <c r="A528" s="1"/>
      <c r="B528" s="1"/>
      <c r="C528" s="1"/>
      <c r="D528" s="2"/>
      <c r="E528" s="1"/>
    </row>
    <row r="529" spans="1:5" ht="14.25" customHeight="1" x14ac:dyDescent="0.25">
      <c r="A529" s="1"/>
      <c r="B529" s="1"/>
      <c r="C529" s="1"/>
      <c r="D529" s="2"/>
      <c r="E529" s="1"/>
    </row>
    <row r="530" spans="1:5" ht="14.25" customHeight="1" x14ac:dyDescent="0.25">
      <c r="A530" s="1"/>
      <c r="B530" s="1"/>
      <c r="C530" s="1"/>
      <c r="D530" s="2"/>
      <c r="E530" s="1"/>
    </row>
    <row r="531" spans="1:5" ht="14.25" customHeight="1" x14ac:dyDescent="0.25">
      <c r="A531" s="1"/>
      <c r="B531" s="1"/>
      <c r="C531" s="1"/>
      <c r="D531" s="2"/>
      <c r="E531" s="1"/>
    </row>
    <row r="532" spans="1:5" ht="14.25" customHeight="1" x14ac:dyDescent="0.25">
      <c r="A532" s="1"/>
      <c r="B532" s="1"/>
      <c r="C532" s="1"/>
      <c r="D532" s="2"/>
      <c r="E532" s="1"/>
    </row>
    <row r="533" spans="1:5" ht="14.25" customHeight="1" x14ac:dyDescent="0.25">
      <c r="A533" s="1"/>
      <c r="B533" s="1"/>
      <c r="C533" s="1"/>
      <c r="D533" s="2"/>
      <c r="E533" s="1"/>
    </row>
    <row r="534" spans="1:5" ht="14.25" customHeight="1" x14ac:dyDescent="0.25">
      <c r="A534" s="1"/>
      <c r="B534" s="1"/>
      <c r="C534" s="1"/>
      <c r="D534" s="2"/>
      <c r="E534" s="1"/>
    </row>
    <row r="535" spans="1:5" ht="14.25" customHeight="1" x14ac:dyDescent="0.25">
      <c r="A535" s="1"/>
      <c r="B535" s="1"/>
      <c r="C535" s="1"/>
      <c r="D535" s="2"/>
      <c r="E535" s="1"/>
    </row>
    <row r="536" spans="1:5" ht="14.25" customHeight="1" x14ac:dyDescent="0.25">
      <c r="A536" s="1"/>
      <c r="B536" s="1"/>
      <c r="C536" s="1"/>
      <c r="D536" s="2"/>
      <c r="E536" s="1"/>
    </row>
    <row r="537" spans="1:5" ht="14.25" customHeight="1" x14ac:dyDescent="0.25">
      <c r="A537" s="1"/>
      <c r="B537" s="1"/>
      <c r="C537" s="1"/>
      <c r="D537" s="2"/>
      <c r="E537" s="1"/>
    </row>
    <row r="538" spans="1:5" ht="14.25" customHeight="1" x14ac:dyDescent="0.25">
      <c r="A538" s="1"/>
      <c r="B538" s="1"/>
      <c r="C538" s="1"/>
      <c r="D538" s="2"/>
      <c r="E538" s="1"/>
    </row>
    <row r="539" spans="1:5" ht="14.25" customHeight="1" x14ac:dyDescent="0.25">
      <c r="A539" s="1"/>
      <c r="B539" s="1"/>
      <c r="C539" s="1"/>
      <c r="D539" s="2"/>
      <c r="E539" s="1"/>
    </row>
    <row r="540" spans="1:5" ht="14.25" customHeight="1" x14ac:dyDescent="0.25">
      <c r="A540" s="1"/>
      <c r="B540" s="1"/>
      <c r="C540" s="1"/>
      <c r="D540" s="2"/>
      <c r="E540" s="1"/>
    </row>
    <row r="541" spans="1:5" ht="14.25" customHeight="1" x14ac:dyDescent="0.25">
      <c r="A541" s="1"/>
      <c r="B541" s="1"/>
      <c r="C541" s="1"/>
      <c r="D541" s="2"/>
      <c r="E541" s="1"/>
    </row>
    <row r="542" spans="1:5" ht="14.25" customHeight="1" x14ac:dyDescent="0.25">
      <c r="A542" s="1"/>
      <c r="B542" s="1"/>
      <c r="C542" s="1"/>
      <c r="D542" s="2"/>
      <c r="E542" s="1"/>
    </row>
    <row r="543" spans="1:5" ht="14.25" customHeight="1" x14ac:dyDescent="0.25">
      <c r="A543" s="1"/>
      <c r="B543" s="1"/>
      <c r="C543" s="1"/>
      <c r="D543" s="2"/>
      <c r="E543" s="1"/>
    </row>
    <row r="544" spans="1:5" ht="14.25" customHeight="1" x14ac:dyDescent="0.25">
      <c r="A544" s="1"/>
      <c r="B544" s="1"/>
      <c r="C544" s="1"/>
      <c r="D544" s="2"/>
      <c r="E544" s="1"/>
    </row>
    <row r="545" spans="1:5" ht="14.25" customHeight="1" x14ac:dyDescent="0.25">
      <c r="A545" s="1"/>
      <c r="B545" s="1"/>
      <c r="C545" s="1"/>
      <c r="D545" s="2"/>
      <c r="E545" s="1"/>
    </row>
    <row r="546" spans="1:5" ht="14.25" customHeight="1" x14ac:dyDescent="0.25">
      <c r="A546" s="1"/>
      <c r="B546" s="1"/>
      <c r="C546" s="1"/>
      <c r="D546" s="2"/>
      <c r="E546" s="1"/>
    </row>
    <row r="547" spans="1:5" ht="14.25" customHeight="1" x14ac:dyDescent="0.25">
      <c r="A547" s="1"/>
      <c r="B547" s="1"/>
      <c r="C547" s="1"/>
      <c r="D547" s="2"/>
      <c r="E547" s="1"/>
    </row>
    <row r="548" spans="1:5" ht="14.25" customHeight="1" x14ac:dyDescent="0.25">
      <c r="A548" s="1"/>
      <c r="B548" s="1"/>
      <c r="C548" s="1"/>
      <c r="D548" s="2"/>
      <c r="E548" s="1"/>
    </row>
    <row r="549" spans="1:5" ht="14.25" customHeight="1" x14ac:dyDescent="0.25">
      <c r="A549" s="1"/>
      <c r="B549" s="1"/>
      <c r="C549" s="1"/>
      <c r="D549" s="2"/>
      <c r="E549" s="1"/>
    </row>
    <row r="550" spans="1:5" ht="14.25" customHeight="1" x14ac:dyDescent="0.25">
      <c r="A550" s="1"/>
      <c r="B550" s="1"/>
      <c r="C550" s="1"/>
      <c r="D550" s="2"/>
      <c r="E550" s="1"/>
    </row>
    <row r="551" spans="1:5" ht="14.25" customHeight="1" x14ac:dyDescent="0.25">
      <c r="A551" s="1"/>
      <c r="B551" s="1"/>
      <c r="C551" s="1"/>
      <c r="D551" s="2"/>
      <c r="E551" s="1"/>
    </row>
    <row r="552" spans="1:5" ht="14.25" customHeight="1" x14ac:dyDescent="0.25">
      <c r="A552" s="1"/>
      <c r="B552" s="1"/>
      <c r="C552" s="1"/>
      <c r="D552" s="2"/>
      <c r="E552" s="1"/>
    </row>
    <row r="553" spans="1:5" ht="14.25" customHeight="1" x14ac:dyDescent="0.25">
      <c r="A553" s="1"/>
      <c r="B553" s="1"/>
      <c r="C553" s="1"/>
      <c r="D553" s="2"/>
      <c r="E553" s="1"/>
    </row>
    <row r="554" spans="1:5" ht="14.25" customHeight="1" x14ac:dyDescent="0.25">
      <c r="A554" s="1"/>
      <c r="B554" s="1"/>
      <c r="C554" s="1"/>
      <c r="D554" s="2"/>
      <c r="E554" s="1"/>
    </row>
    <row r="555" spans="1:5" ht="14.25" customHeight="1" x14ac:dyDescent="0.25">
      <c r="A555" s="1"/>
      <c r="B555" s="1"/>
      <c r="C555" s="1"/>
      <c r="D555" s="2"/>
      <c r="E555" s="1"/>
    </row>
    <row r="556" spans="1:5" ht="14.25" customHeight="1" x14ac:dyDescent="0.25">
      <c r="A556" s="1"/>
      <c r="B556" s="1"/>
      <c r="C556" s="1"/>
      <c r="D556" s="2"/>
      <c r="E556" s="1"/>
    </row>
    <row r="557" spans="1:5" ht="14.25" customHeight="1" x14ac:dyDescent="0.25">
      <c r="A557" s="1"/>
      <c r="B557" s="1"/>
      <c r="C557" s="1"/>
      <c r="D557" s="2"/>
      <c r="E557" s="1"/>
    </row>
    <row r="558" spans="1:5" ht="14.25" customHeight="1" x14ac:dyDescent="0.25">
      <c r="A558" s="1"/>
      <c r="B558" s="1"/>
      <c r="C558" s="1"/>
      <c r="D558" s="2"/>
      <c r="E558" s="1"/>
    </row>
    <row r="559" spans="1:5" ht="14.25" customHeight="1" x14ac:dyDescent="0.25">
      <c r="A559" s="1"/>
      <c r="B559" s="1"/>
      <c r="C559" s="1"/>
      <c r="D559" s="2"/>
      <c r="E559" s="1"/>
    </row>
    <row r="560" spans="1:5" ht="14.25" customHeight="1" x14ac:dyDescent="0.25">
      <c r="A560" s="1"/>
      <c r="B560" s="1"/>
      <c r="C560" s="1"/>
      <c r="D560" s="2"/>
      <c r="E560" s="1"/>
    </row>
    <row r="561" spans="1:5" ht="14.25" customHeight="1" x14ac:dyDescent="0.25">
      <c r="A561" s="1"/>
      <c r="B561" s="1"/>
      <c r="C561" s="1"/>
      <c r="D561" s="2"/>
      <c r="E561" s="1"/>
    </row>
    <row r="562" spans="1:5" ht="14.25" customHeight="1" x14ac:dyDescent="0.25">
      <c r="A562" s="1"/>
      <c r="B562" s="1"/>
      <c r="C562" s="1"/>
      <c r="D562" s="2"/>
      <c r="E562" s="1"/>
    </row>
    <row r="563" spans="1:5" ht="14.25" customHeight="1" x14ac:dyDescent="0.25">
      <c r="A563" s="1"/>
      <c r="B563" s="1"/>
      <c r="C563" s="1"/>
      <c r="D563" s="2"/>
      <c r="E563" s="1"/>
    </row>
    <row r="564" spans="1:5" ht="14.25" customHeight="1" x14ac:dyDescent="0.25">
      <c r="A564" s="1"/>
      <c r="B564" s="1"/>
      <c r="C564" s="1"/>
      <c r="D564" s="2"/>
      <c r="E564" s="1"/>
    </row>
    <row r="565" spans="1:5" ht="14.25" customHeight="1" x14ac:dyDescent="0.25">
      <c r="A565" s="1"/>
      <c r="B565" s="1"/>
      <c r="C565" s="1"/>
      <c r="D565" s="2"/>
      <c r="E565" s="1"/>
    </row>
    <row r="566" spans="1:5" ht="14.25" customHeight="1" x14ac:dyDescent="0.25">
      <c r="A566" s="1"/>
      <c r="B566" s="1"/>
      <c r="C566" s="1"/>
      <c r="D566" s="2"/>
      <c r="E566" s="1"/>
    </row>
    <row r="567" spans="1:5" ht="14.25" customHeight="1" x14ac:dyDescent="0.25">
      <c r="A567" s="1"/>
      <c r="B567" s="1"/>
      <c r="C567" s="1"/>
      <c r="D567" s="2"/>
      <c r="E567" s="1"/>
    </row>
    <row r="568" spans="1:5" ht="14.25" customHeight="1" x14ac:dyDescent="0.25">
      <c r="A568" s="1"/>
      <c r="B568" s="1"/>
      <c r="C568" s="1"/>
      <c r="D568" s="2"/>
      <c r="E568" s="1"/>
    </row>
    <row r="569" spans="1:5" ht="14.25" customHeight="1" x14ac:dyDescent="0.25">
      <c r="A569" s="1"/>
      <c r="B569" s="1"/>
      <c r="C569" s="1"/>
      <c r="D569" s="2"/>
      <c r="E569" s="1"/>
    </row>
    <row r="570" spans="1:5" ht="14.25" customHeight="1" x14ac:dyDescent="0.25">
      <c r="A570" s="1"/>
      <c r="B570" s="1"/>
      <c r="C570" s="1"/>
      <c r="D570" s="2"/>
      <c r="E570" s="1"/>
    </row>
    <row r="571" spans="1:5" ht="14.25" customHeight="1" x14ac:dyDescent="0.25">
      <c r="A571" s="1"/>
      <c r="B571" s="1"/>
      <c r="C571" s="1"/>
      <c r="D571" s="2"/>
      <c r="E571" s="1"/>
    </row>
    <row r="572" spans="1:5" ht="14.25" customHeight="1" x14ac:dyDescent="0.25">
      <c r="A572" s="1"/>
      <c r="B572" s="1"/>
      <c r="C572" s="1"/>
      <c r="D572" s="2"/>
      <c r="E572" s="1"/>
    </row>
    <row r="573" spans="1:5" ht="14.25" customHeight="1" x14ac:dyDescent="0.25">
      <c r="A573" s="1"/>
      <c r="B573" s="1"/>
      <c r="C573" s="1"/>
      <c r="D573" s="2"/>
      <c r="E573" s="1"/>
    </row>
    <row r="574" spans="1:5" ht="14.25" customHeight="1" x14ac:dyDescent="0.25">
      <c r="A574" s="1"/>
      <c r="B574" s="1"/>
      <c r="C574" s="1"/>
      <c r="D574" s="2"/>
      <c r="E574" s="1"/>
    </row>
    <row r="575" spans="1:5" ht="14.25" customHeight="1" x14ac:dyDescent="0.25">
      <c r="A575" s="1"/>
      <c r="B575" s="1"/>
      <c r="C575" s="1"/>
      <c r="D575" s="2"/>
      <c r="E575" s="1"/>
    </row>
    <row r="576" spans="1:5" ht="14.25" customHeight="1" x14ac:dyDescent="0.25">
      <c r="A576" s="1"/>
      <c r="B576" s="1"/>
      <c r="C576" s="1"/>
      <c r="D576" s="2"/>
      <c r="E576" s="1"/>
    </row>
    <row r="577" spans="1:5" ht="14.25" customHeight="1" x14ac:dyDescent="0.25">
      <c r="A577" s="1"/>
      <c r="B577" s="1"/>
      <c r="C577" s="1"/>
      <c r="D577" s="2"/>
      <c r="E577" s="1"/>
    </row>
    <row r="578" spans="1:5" ht="14.25" customHeight="1" x14ac:dyDescent="0.25">
      <c r="A578" s="1"/>
      <c r="B578" s="1"/>
      <c r="C578" s="1"/>
      <c r="D578" s="2"/>
      <c r="E578" s="1"/>
    </row>
    <row r="579" spans="1:5" ht="14.25" customHeight="1" x14ac:dyDescent="0.25">
      <c r="A579" s="1"/>
      <c r="B579" s="1"/>
      <c r="C579" s="1"/>
      <c r="D579" s="2"/>
      <c r="E579" s="1"/>
    </row>
    <row r="580" spans="1:5" ht="14.25" customHeight="1" x14ac:dyDescent="0.25">
      <c r="A580" s="1"/>
      <c r="B580" s="1"/>
      <c r="C580" s="1"/>
      <c r="D580" s="2"/>
      <c r="E580" s="1"/>
    </row>
    <row r="581" spans="1:5" ht="14.25" customHeight="1" x14ac:dyDescent="0.25">
      <c r="A581" s="1"/>
      <c r="B581" s="1"/>
      <c r="C581" s="1"/>
      <c r="D581" s="2"/>
      <c r="E581" s="1"/>
    </row>
    <row r="582" spans="1:5" ht="14.25" customHeight="1" x14ac:dyDescent="0.25">
      <c r="A582" s="1"/>
      <c r="B582" s="1"/>
      <c r="C582" s="1"/>
      <c r="D582" s="2"/>
      <c r="E582" s="1"/>
    </row>
    <row r="583" spans="1:5" ht="14.25" customHeight="1" x14ac:dyDescent="0.25">
      <c r="A583" s="1"/>
      <c r="B583" s="1"/>
      <c r="C583" s="1"/>
      <c r="D583" s="2"/>
      <c r="E583" s="1"/>
    </row>
    <row r="584" spans="1:5" ht="14.25" customHeight="1" x14ac:dyDescent="0.25">
      <c r="A584" s="1"/>
      <c r="B584" s="1"/>
      <c r="C584" s="1"/>
      <c r="D584" s="2"/>
      <c r="E584" s="1"/>
    </row>
    <row r="585" spans="1:5" ht="14.25" customHeight="1" x14ac:dyDescent="0.25">
      <c r="A585" s="1"/>
      <c r="B585" s="1"/>
      <c r="C585" s="1"/>
      <c r="D585" s="2"/>
      <c r="E585" s="1"/>
    </row>
    <row r="586" spans="1:5" ht="14.25" customHeight="1" x14ac:dyDescent="0.25">
      <c r="A586" s="1"/>
      <c r="B586" s="1"/>
      <c r="C586" s="1"/>
      <c r="D586" s="2"/>
      <c r="E586" s="1"/>
    </row>
    <row r="587" spans="1:5" ht="14.25" customHeight="1" x14ac:dyDescent="0.25">
      <c r="A587" s="1"/>
      <c r="B587" s="1"/>
      <c r="C587" s="1"/>
      <c r="D587" s="2"/>
      <c r="E587" s="1"/>
    </row>
    <row r="588" spans="1:5" ht="14.25" customHeight="1" x14ac:dyDescent="0.25">
      <c r="A588" s="1"/>
      <c r="B588" s="1"/>
      <c r="C588" s="1"/>
      <c r="D588" s="2"/>
      <c r="E588" s="1"/>
    </row>
    <row r="589" spans="1:5" ht="14.25" customHeight="1" x14ac:dyDescent="0.25">
      <c r="A589" s="1"/>
      <c r="B589" s="1"/>
      <c r="C589" s="1"/>
      <c r="D589" s="2"/>
      <c r="E589" s="1"/>
    </row>
    <row r="590" spans="1:5" ht="14.25" customHeight="1" x14ac:dyDescent="0.25">
      <c r="A590" s="1"/>
      <c r="B590" s="1"/>
      <c r="C590" s="1"/>
      <c r="D590" s="2"/>
      <c r="E590" s="1"/>
    </row>
    <row r="591" spans="1:5" ht="14.25" customHeight="1" x14ac:dyDescent="0.25">
      <c r="A591" s="1"/>
      <c r="B591" s="1"/>
      <c r="C591" s="1"/>
      <c r="D591" s="2"/>
      <c r="E591" s="1"/>
    </row>
    <row r="592" spans="1:5" ht="14.25" customHeight="1" x14ac:dyDescent="0.25">
      <c r="A592" s="1"/>
      <c r="B592" s="1"/>
      <c r="C592" s="1"/>
      <c r="D592" s="2"/>
      <c r="E592" s="1"/>
    </row>
    <row r="593" spans="1:5" ht="14.25" customHeight="1" x14ac:dyDescent="0.25">
      <c r="A593" s="1"/>
      <c r="B593" s="1"/>
      <c r="C593" s="1"/>
      <c r="D593" s="2"/>
      <c r="E593" s="1"/>
    </row>
    <row r="594" spans="1:5" ht="14.25" customHeight="1" x14ac:dyDescent="0.25">
      <c r="A594" s="1"/>
      <c r="B594" s="1"/>
      <c r="C594" s="1"/>
      <c r="D594" s="2"/>
      <c r="E594" s="1"/>
    </row>
    <row r="595" spans="1:5" ht="14.25" customHeight="1" x14ac:dyDescent="0.25">
      <c r="A595" s="1"/>
      <c r="B595" s="1"/>
      <c r="C595" s="1"/>
      <c r="D595" s="2"/>
      <c r="E595" s="1"/>
    </row>
    <row r="596" spans="1:5" ht="14.25" customHeight="1" x14ac:dyDescent="0.25">
      <c r="A596" s="1"/>
      <c r="B596" s="1"/>
      <c r="C596" s="1"/>
      <c r="D596" s="2"/>
      <c r="E596" s="1"/>
    </row>
    <row r="597" spans="1:5" ht="14.25" customHeight="1" x14ac:dyDescent="0.25">
      <c r="A597" s="1"/>
      <c r="B597" s="1"/>
      <c r="C597" s="1"/>
      <c r="D597" s="2"/>
      <c r="E597" s="1"/>
    </row>
    <row r="598" spans="1:5" ht="14.25" customHeight="1" x14ac:dyDescent="0.25">
      <c r="A598" s="1"/>
      <c r="B598" s="1"/>
      <c r="C598" s="1"/>
      <c r="D598" s="2"/>
      <c r="E598" s="1"/>
    </row>
    <row r="599" spans="1:5" ht="14.25" customHeight="1" x14ac:dyDescent="0.25">
      <c r="A599" s="1"/>
      <c r="B599" s="1"/>
      <c r="C599" s="1"/>
      <c r="D599" s="2"/>
      <c r="E599" s="1"/>
    </row>
    <row r="600" spans="1:5" ht="14.25" customHeight="1" x14ac:dyDescent="0.25">
      <c r="A600" s="1"/>
      <c r="B600" s="1"/>
      <c r="C600" s="1"/>
      <c r="D600" s="2"/>
      <c r="E600" s="1"/>
    </row>
    <row r="601" spans="1:5" ht="14.25" customHeight="1" x14ac:dyDescent="0.25">
      <c r="A601" s="1"/>
      <c r="B601" s="1"/>
      <c r="C601" s="1"/>
      <c r="D601" s="2"/>
      <c r="E601" s="1"/>
    </row>
    <row r="602" spans="1:5" ht="14.25" customHeight="1" x14ac:dyDescent="0.25">
      <c r="A602" s="1"/>
      <c r="B602" s="1"/>
      <c r="C602" s="1"/>
      <c r="D602" s="2"/>
      <c r="E602" s="1"/>
    </row>
    <row r="603" spans="1:5" ht="14.25" customHeight="1" x14ac:dyDescent="0.25">
      <c r="A603" s="1"/>
      <c r="B603" s="1"/>
      <c r="C603" s="1"/>
      <c r="D603" s="2"/>
      <c r="E603" s="1"/>
    </row>
    <row r="604" spans="1:5" ht="14.25" customHeight="1" x14ac:dyDescent="0.25">
      <c r="A604" s="1"/>
      <c r="B604" s="1"/>
      <c r="C604" s="1"/>
      <c r="D604" s="2"/>
      <c r="E604" s="1"/>
    </row>
    <row r="605" spans="1:5" ht="14.25" customHeight="1" x14ac:dyDescent="0.25">
      <c r="A605" s="1"/>
      <c r="B605" s="1"/>
      <c r="C605" s="1"/>
      <c r="D605" s="2"/>
      <c r="E605" s="1"/>
    </row>
    <row r="606" spans="1:5" ht="14.25" customHeight="1" x14ac:dyDescent="0.25">
      <c r="A606" s="1"/>
      <c r="B606" s="1"/>
      <c r="C606" s="1"/>
      <c r="D606" s="2"/>
      <c r="E606" s="1"/>
    </row>
    <row r="607" spans="1:5" ht="14.25" customHeight="1" x14ac:dyDescent="0.25">
      <c r="A607" s="1"/>
      <c r="B607" s="1"/>
      <c r="C607" s="1"/>
      <c r="D607" s="2"/>
      <c r="E607" s="1"/>
    </row>
    <row r="608" spans="1:5" ht="14.25" customHeight="1" x14ac:dyDescent="0.25">
      <c r="A608" s="1"/>
      <c r="B608" s="1"/>
      <c r="C608" s="1"/>
      <c r="D608" s="2"/>
      <c r="E608" s="1"/>
    </row>
    <row r="609" spans="1:5" ht="14.25" customHeight="1" x14ac:dyDescent="0.25">
      <c r="A609" s="1"/>
      <c r="B609" s="1"/>
      <c r="C609" s="1"/>
      <c r="D609" s="2"/>
      <c r="E609" s="1"/>
    </row>
    <row r="610" spans="1:5" ht="14.25" customHeight="1" x14ac:dyDescent="0.25">
      <c r="A610" s="1"/>
      <c r="B610" s="1"/>
      <c r="C610" s="1"/>
      <c r="D610" s="2"/>
      <c r="E610" s="1"/>
    </row>
    <row r="611" spans="1:5" ht="14.25" customHeight="1" x14ac:dyDescent="0.25">
      <c r="A611" s="1"/>
      <c r="B611" s="1"/>
      <c r="C611" s="1"/>
      <c r="D611" s="2"/>
      <c r="E611" s="1"/>
    </row>
    <row r="612" spans="1:5" ht="14.25" customHeight="1" x14ac:dyDescent="0.25">
      <c r="A612" s="1"/>
      <c r="B612" s="1"/>
      <c r="C612" s="1"/>
      <c r="D612" s="2"/>
      <c r="E612" s="1"/>
    </row>
    <row r="613" spans="1:5" ht="14.25" customHeight="1" x14ac:dyDescent="0.25">
      <c r="A613" s="1"/>
      <c r="B613" s="1"/>
      <c r="C613" s="1"/>
      <c r="D613" s="2"/>
      <c r="E613" s="1"/>
    </row>
    <row r="614" spans="1:5" ht="14.25" customHeight="1" x14ac:dyDescent="0.25">
      <c r="A614" s="1"/>
      <c r="B614" s="1"/>
      <c r="C614" s="1"/>
      <c r="D614" s="2"/>
      <c r="E614" s="1"/>
    </row>
    <row r="615" spans="1:5" ht="14.25" customHeight="1" x14ac:dyDescent="0.25">
      <c r="A615" s="1"/>
      <c r="B615" s="1"/>
      <c r="C615" s="1"/>
      <c r="D615" s="2"/>
      <c r="E615" s="1"/>
    </row>
    <row r="616" spans="1:5" ht="14.25" customHeight="1" x14ac:dyDescent="0.25">
      <c r="A616" s="1"/>
      <c r="B616" s="1"/>
      <c r="C616" s="1"/>
      <c r="D616" s="2"/>
      <c r="E616" s="1"/>
    </row>
    <row r="617" spans="1:5" ht="14.25" customHeight="1" x14ac:dyDescent="0.25">
      <c r="A617" s="1"/>
      <c r="B617" s="1"/>
      <c r="C617" s="1"/>
      <c r="D617" s="2"/>
      <c r="E617" s="1"/>
    </row>
    <row r="618" spans="1:5" ht="14.25" customHeight="1" x14ac:dyDescent="0.25">
      <c r="A618" s="1"/>
      <c r="B618" s="1"/>
      <c r="C618" s="1"/>
      <c r="D618" s="2"/>
      <c r="E618" s="1"/>
    </row>
    <row r="619" spans="1:5" ht="14.25" customHeight="1" x14ac:dyDescent="0.25">
      <c r="A619" s="1"/>
      <c r="B619" s="1"/>
      <c r="C619" s="1"/>
      <c r="D619" s="2"/>
      <c r="E619" s="1"/>
    </row>
    <row r="620" spans="1:5" ht="14.25" customHeight="1" x14ac:dyDescent="0.25">
      <c r="A620" s="1"/>
      <c r="B620" s="1"/>
      <c r="C620" s="1"/>
      <c r="D620" s="2"/>
      <c r="E620" s="1"/>
    </row>
    <row r="621" spans="1:5" ht="14.25" customHeight="1" x14ac:dyDescent="0.25">
      <c r="A621" s="1"/>
      <c r="B621" s="1"/>
      <c r="C621" s="1"/>
      <c r="D621" s="2"/>
      <c r="E621" s="1"/>
    </row>
    <row r="622" spans="1:5" ht="14.25" customHeight="1" x14ac:dyDescent="0.25">
      <c r="A622" s="1"/>
      <c r="B622" s="1"/>
      <c r="C622" s="1"/>
      <c r="D622" s="2"/>
      <c r="E622" s="1"/>
    </row>
    <row r="623" spans="1:5" ht="14.25" customHeight="1" x14ac:dyDescent="0.25">
      <c r="A623" s="1"/>
      <c r="B623" s="1"/>
      <c r="C623" s="1"/>
      <c r="D623" s="2"/>
      <c r="E623" s="1"/>
    </row>
    <row r="624" spans="1:5" ht="14.25" customHeight="1" x14ac:dyDescent="0.25">
      <c r="A624" s="1"/>
      <c r="B624" s="1"/>
      <c r="C624" s="1"/>
      <c r="D624" s="2"/>
      <c r="E624" s="1"/>
    </row>
    <row r="625" spans="1:5" ht="14.25" customHeight="1" x14ac:dyDescent="0.25">
      <c r="A625" s="1"/>
      <c r="B625" s="1"/>
      <c r="C625" s="1"/>
      <c r="D625" s="2"/>
      <c r="E625" s="1"/>
    </row>
    <row r="626" spans="1:5" ht="14.25" customHeight="1" x14ac:dyDescent="0.25">
      <c r="A626" s="1"/>
      <c r="B626" s="1"/>
      <c r="C626" s="1"/>
      <c r="D626" s="2"/>
      <c r="E626" s="1"/>
    </row>
    <row r="627" spans="1:5" ht="14.25" customHeight="1" x14ac:dyDescent="0.25">
      <c r="A627" s="1"/>
      <c r="B627" s="1"/>
      <c r="C627" s="1"/>
      <c r="D627" s="2"/>
      <c r="E627" s="1"/>
    </row>
    <row r="628" spans="1:5" ht="14.25" customHeight="1" x14ac:dyDescent="0.25">
      <c r="A628" s="1"/>
      <c r="B628" s="1"/>
      <c r="C628" s="1"/>
      <c r="D628" s="2"/>
      <c r="E628" s="1"/>
    </row>
    <row r="629" spans="1:5" ht="14.25" customHeight="1" x14ac:dyDescent="0.25">
      <c r="A629" s="1"/>
      <c r="B629" s="1"/>
      <c r="C629" s="1"/>
      <c r="D629" s="2"/>
      <c r="E629" s="1"/>
    </row>
    <row r="630" spans="1:5" ht="14.25" customHeight="1" x14ac:dyDescent="0.25">
      <c r="A630" s="1"/>
      <c r="B630" s="1"/>
      <c r="C630" s="1"/>
      <c r="D630" s="2"/>
      <c r="E630" s="1"/>
    </row>
    <row r="631" spans="1:5" ht="14.25" customHeight="1" x14ac:dyDescent="0.25">
      <c r="A631" s="1"/>
      <c r="B631" s="1"/>
      <c r="C631" s="1"/>
      <c r="D631" s="2"/>
      <c r="E631" s="1"/>
    </row>
    <row r="632" spans="1:5" ht="14.25" customHeight="1" x14ac:dyDescent="0.25">
      <c r="A632" s="1"/>
      <c r="B632" s="1"/>
      <c r="C632" s="1"/>
      <c r="D632" s="2"/>
      <c r="E632" s="1"/>
    </row>
    <row r="633" spans="1:5" ht="14.25" customHeight="1" x14ac:dyDescent="0.25">
      <c r="A633" s="1"/>
      <c r="B633" s="1"/>
      <c r="C633" s="1"/>
      <c r="D633" s="2"/>
      <c r="E633" s="1"/>
    </row>
    <row r="634" spans="1:5" ht="14.25" customHeight="1" x14ac:dyDescent="0.25">
      <c r="A634" s="1"/>
      <c r="B634" s="1"/>
      <c r="C634" s="1"/>
      <c r="D634" s="2"/>
      <c r="E634" s="1"/>
    </row>
    <row r="635" spans="1:5" ht="14.25" customHeight="1" x14ac:dyDescent="0.25">
      <c r="A635" s="1"/>
      <c r="B635" s="1"/>
      <c r="C635" s="1"/>
      <c r="D635" s="2"/>
      <c r="E635" s="1"/>
    </row>
    <row r="636" spans="1:5" ht="14.25" customHeight="1" x14ac:dyDescent="0.25">
      <c r="A636" s="1"/>
      <c r="B636" s="1"/>
      <c r="C636" s="1"/>
      <c r="D636" s="2"/>
      <c r="E636" s="1"/>
    </row>
    <row r="637" spans="1:5" ht="14.25" customHeight="1" x14ac:dyDescent="0.25">
      <c r="A637" s="1"/>
      <c r="B637" s="1"/>
      <c r="C637" s="1"/>
      <c r="D637" s="2"/>
      <c r="E637" s="1"/>
    </row>
    <row r="638" spans="1:5" ht="14.25" customHeight="1" x14ac:dyDescent="0.25">
      <c r="A638" s="1"/>
      <c r="B638" s="1"/>
      <c r="C638" s="1"/>
      <c r="D638" s="2"/>
      <c r="E638" s="1"/>
    </row>
    <row r="639" spans="1:5" ht="14.25" customHeight="1" x14ac:dyDescent="0.25">
      <c r="A639" s="1"/>
      <c r="B639" s="1"/>
      <c r="C639" s="1"/>
      <c r="D639" s="2"/>
      <c r="E639" s="1"/>
    </row>
    <row r="640" spans="1:5" ht="14.25" customHeight="1" x14ac:dyDescent="0.25">
      <c r="A640" s="1"/>
      <c r="B640" s="1"/>
      <c r="C640" s="1"/>
      <c r="D640" s="2"/>
      <c r="E640" s="1"/>
    </row>
    <row r="641" spans="1:5" ht="14.25" customHeight="1" x14ac:dyDescent="0.25">
      <c r="A641" s="1"/>
      <c r="B641" s="1"/>
      <c r="C641" s="1"/>
      <c r="D641" s="2"/>
      <c r="E641" s="1"/>
    </row>
    <row r="642" spans="1:5" ht="14.25" customHeight="1" x14ac:dyDescent="0.25">
      <c r="A642" s="1"/>
      <c r="B642" s="1"/>
      <c r="C642" s="1"/>
      <c r="D642" s="2"/>
      <c r="E642" s="1"/>
    </row>
    <row r="643" spans="1:5" ht="14.25" customHeight="1" x14ac:dyDescent="0.25">
      <c r="A643" s="1"/>
      <c r="B643" s="1"/>
      <c r="C643" s="1"/>
      <c r="D643" s="2"/>
      <c r="E643" s="1"/>
    </row>
    <row r="644" spans="1:5" ht="14.25" customHeight="1" x14ac:dyDescent="0.25">
      <c r="A644" s="1"/>
      <c r="B644" s="1"/>
      <c r="C644" s="1"/>
      <c r="D644" s="2"/>
      <c r="E644" s="1"/>
    </row>
    <row r="645" spans="1:5" ht="14.25" customHeight="1" x14ac:dyDescent="0.25">
      <c r="A645" s="1"/>
      <c r="B645" s="1"/>
      <c r="C645" s="1"/>
      <c r="D645" s="2"/>
      <c r="E645" s="1"/>
    </row>
    <row r="646" spans="1:5" ht="14.25" customHeight="1" x14ac:dyDescent="0.25">
      <c r="A646" s="1"/>
      <c r="B646" s="1"/>
      <c r="C646" s="1"/>
      <c r="D646" s="2"/>
      <c r="E646" s="1"/>
    </row>
    <row r="647" spans="1:5" ht="14.25" customHeight="1" x14ac:dyDescent="0.25">
      <c r="A647" s="1"/>
      <c r="B647" s="1"/>
      <c r="C647" s="1"/>
      <c r="D647" s="2"/>
      <c r="E647" s="1"/>
    </row>
    <row r="648" spans="1:5" ht="14.25" customHeight="1" x14ac:dyDescent="0.25">
      <c r="A648" s="1"/>
      <c r="B648" s="1"/>
      <c r="C648" s="1"/>
      <c r="D648" s="2"/>
      <c r="E648" s="1"/>
    </row>
    <row r="649" spans="1:5" ht="14.25" customHeight="1" x14ac:dyDescent="0.25">
      <c r="A649" s="1"/>
      <c r="B649" s="1"/>
      <c r="C649" s="1"/>
      <c r="D649" s="2"/>
      <c r="E649" s="1"/>
    </row>
    <row r="650" spans="1:5" ht="14.25" customHeight="1" x14ac:dyDescent="0.25">
      <c r="A650" s="1"/>
      <c r="B650" s="1"/>
      <c r="C650" s="1"/>
      <c r="D650" s="2"/>
      <c r="E650" s="1"/>
    </row>
    <row r="651" spans="1:5" ht="14.25" customHeight="1" x14ac:dyDescent="0.25">
      <c r="A651" s="1"/>
      <c r="B651" s="1"/>
      <c r="C651" s="1"/>
      <c r="D651" s="2"/>
      <c r="E651" s="1"/>
    </row>
    <row r="652" spans="1:5" ht="14.25" customHeight="1" x14ac:dyDescent="0.25">
      <c r="A652" s="1"/>
      <c r="B652" s="1"/>
      <c r="C652" s="1"/>
      <c r="D652" s="2"/>
      <c r="E652" s="1"/>
    </row>
    <row r="653" spans="1:5" ht="14.25" customHeight="1" x14ac:dyDescent="0.25">
      <c r="A653" s="1"/>
      <c r="B653" s="1"/>
      <c r="C653" s="1"/>
      <c r="D653" s="2"/>
      <c r="E653" s="1"/>
    </row>
    <row r="654" spans="1:5" ht="14.25" customHeight="1" x14ac:dyDescent="0.25">
      <c r="A654" s="1"/>
      <c r="B654" s="1"/>
      <c r="C654" s="1"/>
      <c r="D654" s="2"/>
      <c r="E654" s="1"/>
    </row>
    <row r="655" spans="1:5" ht="14.25" customHeight="1" x14ac:dyDescent="0.25">
      <c r="A655" s="1"/>
      <c r="B655" s="1"/>
      <c r="C655" s="1"/>
      <c r="D655" s="2"/>
      <c r="E655" s="1"/>
    </row>
    <row r="656" spans="1:5" ht="14.25" customHeight="1" x14ac:dyDescent="0.25">
      <c r="A656" s="1"/>
      <c r="B656" s="1"/>
      <c r="C656" s="1"/>
      <c r="D656" s="2"/>
      <c r="E656" s="1"/>
    </row>
    <row r="657" spans="1:5" ht="14.25" customHeight="1" x14ac:dyDescent="0.25">
      <c r="A657" s="1"/>
      <c r="B657" s="1"/>
      <c r="C657" s="1"/>
      <c r="D657" s="2"/>
      <c r="E657" s="1"/>
    </row>
    <row r="658" spans="1:5" ht="14.25" customHeight="1" x14ac:dyDescent="0.25">
      <c r="A658" s="1"/>
      <c r="B658" s="1"/>
      <c r="C658" s="1"/>
      <c r="D658" s="2"/>
      <c r="E658" s="1"/>
    </row>
    <row r="659" spans="1:5" ht="14.25" customHeight="1" x14ac:dyDescent="0.25">
      <c r="A659" s="1"/>
      <c r="B659" s="1"/>
      <c r="C659" s="1"/>
      <c r="D659" s="2"/>
      <c r="E659" s="1"/>
    </row>
    <row r="660" spans="1:5" ht="14.25" customHeight="1" x14ac:dyDescent="0.25">
      <c r="A660" s="1"/>
      <c r="B660" s="1"/>
      <c r="C660" s="1"/>
      <c r="D660" s="2"/>
      <c r="E660" s="1"/>
    </row>
    <row r="661" spans="1:5" ht="14.25" customHeight="1" x14ac:dyDescent="0.25">
      <c r="A661" s="1"/>
      <c r="B661" s="1"/>
      <c r="C661" s="1"/>
      <c r="D661" s="2"/>
      <c r="E661" s="1"/>
    </row>
    <row r="662" spans="1:5" ht="14.25" customHeight="1" x14ac:dyDescent="0.25">
      <c r="A662" s="1"/>
      <c r="B662" s="1"/>
      <c r="C662" s="1"/>
      <c r="D662" s="2"/>
      <c r="E662" s="1"/>
    </row>
    <row r="663" spans="1:5" ht="14.25" customHeight="1" x14ac:dyDescent="0.25">
      <c r="A663" s="1"/>
      <c r="B663" s="1"/>
      <c r="C663" s="1"/>
      <c r="D663" s="2"/>
      <c r="E663" s="1"/>
    </row>
    <row r="664" spans="1:5" ht="14.25" customHeight="1" x14ac:dyDescent="0.25">
      <c r="A664" s="1"/>
      <c r="B664" s="1"/>
      <c r="C664" s="1"/>
      <c r="D664" s="2"/>
      <c r="E664" s="1"/>
    </row>
    <row r="665" spans="1:5" ht="14.25" customHeight="1" x14ac:dyDescent="0.25">
      <c r="A665" s="1"/>
      <c r="B665" s="1"/>
      <c r="C665" s="1"/>
      <c r="D665" s="2"/>
      <c r="E665" s="1"/>
    </row>
    <row r="666" spans="1:5" ht="14.25" customHeight="1" x14ac:dyDescent="0.25">
      <c r="A666" s="1"/>
      <c r="B666" s="1"/>
      <c r="C666" s="1"/>
      <c r="D666" s="2"/>
      <c r="E666" s="1"/>
    </row>
    <row r="667" spans="1:5" ht="14.25" customHeight="1" x14ac:dyDescent="0.25">
      <c r="A667" s="1"/>
      <c r="B667" s="1"/>
      <c r="C667" s="1"/>
      <c r="D667" s="2"/>
      <c r="E667" s="1"/>
    </row>
    <row r="668" spans="1:5" ht="14.25" customHeight="1" x14ac:dyDescent="0.25">
      <c r="A668" s="1"/>
      <c r="B668" s="1"/>
      <c r="C668" s="1"/>
      <c r="D668" s="2"/>
      <c r="E668" s="1"/>
    </row>
    <row r="669" spans="1:5" ht="14.25" customHeight="1" x14ac:dyDescent="0.25">
      <c r="A669" s="1"/>
      <c r="B669" s="1"/>
      <c r="C669" s="1"/>
      <c r="D669" s="2"/>
      <c r="E669" s="1"/>
    </row>
    <row r="670" spans="1:5" ht="14.25" customHeight="1" x14ac:dyDescent="0.25">
      <c r="A670" s="1"/>
      <c r="B670" s="1"/>
      <c r="C670" s="1"/>
      <c r="D670" s="2"/>
      <c r="E670" s="1"/>
    </row>
    <row r="671" spans="1:5" ht="14.25" customHeight="1" x14ac:dyDescent="0.25">
      <c r="A671" s="1"/>
      <c r="B671" s="1"/>
      <c r="C671" s="1"/>
      <c r="D671" s="2"/>
      <c r="E671" s="1"/>
    </row>
    <row r="672" spans="1:5" ht="14.25" customHeight="1" x14ac:dyDescent="0.25">
      <c r="A672" s="1"/>
      <c r="B672" s="1"/>
      <c r="C672" s="1"/>
      <c r="D672" s="2"/>
      <c r="E672" s="1"/>
    </row>
    <row r="673" spans="1:5" ht="14.25" customHeight="1" x14ac:dyDescent="0.25">
      <c r="A673" s="1"/>
      <c r="B673" s="1"/>
      <c r="C673" s="1"/>
      <c r="D673" s="2"/>
      <c r="E673" s="1"/>
    </row>
    <row r="674" spans="1:5" ht="14.25" customHeight="1" x14ac:dyDescent="0.25">
      <c r="A674" s="1"/>
      <c r="B674" s="1"/>
      <c r="C674" s="1"/>
      <c r="D674" s="2"/>
      <c r="E674" s="1"/>
    </row>
    <row r="675" spans="1:5" ht="14.25" customHeight="1" x14ac:dyDescent="0.25">
      <c r="A675" s="1"/>
      <c r="B675" s="1"/>
      <c r="C675" s="1"/>
      <c r="D675" s="2"/>
      <c r="E675" s="1"/>
    </row>
    <row r="676" spans="1:5" ht="14.25" customHeight="1" x14ac:dyDescent="0.25">
      <c r="A676" s="1"/>
      <c r="B676" s="1"/>
      <c r="C676" s="1"/>
      <c r="D676" s="2"/>
      <c r="E676" s="1"/>
    </row>
    <row r="677" spans="1:5" ht="14.25" customHeight="1" x14ac:dyDescent="0.25">
      <c r="A677" s="1"/>
      <c r="B677" s="1"/>
      <c r="C677" s="1"/>
      <c r="D677" s="2"/>
      <c r="E677" s="1"/>
    </row>
    <row r="678" spans="1:5" ht="14.25" customHeight="1" x14ac:dyDescent="0.25">
      <c r="A678" s="1"/>
      <c r="B678" s="1"/>
      <c r="C678" s="1"/>
      <c r="D678" s="2"/>
      <c r="E678" s="1"/>
    </row>
    <row r="679" spans="1:5" ht="14.25" customHeight="1" x14ac:dyDescent="0.25">
      <c r="A679" s="1"/>
      <c r="B679" s="1"/>
      <c r="C679" s="1"/>
      <c r="D679" s="2"/>
      <c r="E679" s="1"/>
    </row>
    <row r="680" spans="1:5" ht="14.25" customHeight="1" x14ac:dyDescent="0.25">
      <c r="A680" s="1"/>
      <c r="B680" s="1"/>
      <c r="C680" s="1"/>
      <c r="D680" s="2"/>
      <c r="E680" s="1"/>
    </row>
    <row r="681" spans="1:5" ht="14.25" customHeight="1" x14ac:dyDescent="0.25">
      <c r="A681" s="1"/>
      <c r="B681" s="1"/>
      <c r="C681" s="1"/>
      <c r="D681" s="2"/>
      <c r="E681" s="1"/>
    </row>
    <row r="682" spans="1:5" ht="14.25" customHeight="1" x14ac:dyDescent="0.25">
      <c r="A682" s="1"/>
      <c r="B682" s="1"/>
      <c r="C682" s="1"/>
      <c r="D682" s="2"/>
      <c r="E682" s="1"/>
    </row>
    <row r="683" spans="1:5" ht="14.25" customHeight="1" x14ac:dyDescent="0.25">
      <c r="A683" s="1"/>
      <c r="B683" s="1"/>
      <c r="C683" s="1"/>
      <c r="D683" s="2"/>
      <c r="E683" s="1"/>
    </row>
    <row r="684" spans="1:5" ht="14.25" customHeight="1" x14ac:dyDescent="0.25">
      <c r="A684" s="1"/>
      <c r="B684" s="1"/>
      <c r="C684" s="1"/>
      <c r="D684" s="2"/>
      <c r="E684" s="1"/>
    </row>
    <row r="685" spans="1:5" ht="14.25" customHeight="1" x14ac:dyDescent="0.25">
      <c r="A685" s="1"/>
      <c r="B685" s="1"/>
      <c r="C685" s="1"/>
      <c r="D685" s="2"/>
      <c r="E685" s="1"/>
    </row>
    <row r="686" spans="1:5" ht="14.25" customHeight="1" x14ac:dyDescent="0.25">
      <c r="A686" s="1"/>
      <c r="B686" s="1"/>
      <c r="C686" s="1"/>
      <c r="D686" s="2"/>
      <c r="E686" s="1"/>
    </row>
    <row r="687" spans="1:5" ht="14.25" customHeight="1" x14ac:dyDescent="0.25">
      <c r="A687" s="1"/>
      <c r="B687" s="1"/>
      <c r="C687" s="1"/>
      <c r="D687" s="2"/>
      <c r="E687" s="1"/>
    </row>
    <row r="688" spans="1:5" ht="14.25" customHeight="1" x14ac:dyDescent="0.25">
      <c r="A688" s="1"/>
      <c r="B688" s="1"/>
      <c r="C688" s="1"/>
      <c r="D688" s="2"/>
      <c r="E688" s="1"/>
    </row>
    <row r="689" spans="1:5" ht="14.25" customHeight="1" x14ac:dyDescent="0.25">
      <c r="A689" s="1"/>
      <c r="B689" s="1"/>
      <c r="C689" s="1"/>
      <c r="D689" s="2"/>
      <c r="E689" s="1"/>
    </row>
    <row r="690" spans="1:5" ht="14.25" customHeight="1" x14ac:dyDescent="0.25">
      <c r="A690" s="1"/>
      <c r="B690" s="1"/>
      <c r="C690" s="1"/>
      <c r="D690" s="2"/>
      <c r="E690" s="1"/>
    </row>
    <row r="691" spans="1:5" ht="14.25" customHeight="1" x14ac:dyDescent="0.25">
      <c r="A691" s="1"/>
      <c r="B691" s="1"/>
      <c r="C691" s="1"/>
      <c r="D691" s="2"/>
      <c r="E691" s="1"/>
    </row>
    <row r="692" spans="1:5" ht="14.25" customHeight="1" x14ac:dyDescent="0.25">
      <c r="A692" s="1"/>
      <c r="B692" s="1"/>
      <c r="C692" s="1"/>
      <c r="D692" s="2"/>
      <c r="E692" s="1"/>
    </row>
    <row r="693" spans="1:5" ht="14.25" customHeight="1" x14ac:dyDescent="0.25">
      <c r="A693" s="1"/>
      <c r="B693" s="1"/>
      <c r="C693" s="1"/>
      <c r="D693" s="2"/>
      <c r="E693" s="1"/>
    </row>
    <row r="694" spans="1:5" ht="14.25" customHeight="1" x14ac:dyDescent="0.25">
      <c r="A694" s="1"/>
      <c r="B694" s="1"/>
      <c r="C694" s="1"/>
      <c r="D694" s="2"/>
      <c r="E694" s="1"/>
    </row>
    <row r="695" spans="1:5" ht="14.25" customHeight="1" x14ac:dyDescent="0.25">
      <c r="A695" s="1"/>
      <c r="B695" s="1"/>
      <c r="C695" s="1"/>
      <c r="D695" s="2"/>
      <c r="E695" s="1"/>
    </row>
    <row r="696" spans="1:5" ht="14.25" customHeight="1" x14ac:dyDescent="0.25">
      <c r="A696" s="1"/>
      <c r="B696" s="1"/>
      <c r="C696" s="1"/>
      <c r="D696" s="2"/>
      <c r="E696" s="1"/>
    </row>
    <row r="697" spans="1:5" ht="14.25" customHeight="1" x14ac:dyDescent="0.25">
      <c r="A697" s="1"/>
      <c r="B697" s="1"/>
      <c r="C697" s="1"/>
      <c r="D697" s="2"/>
      <c r="E697" s="1"/>
    </row>
    <row r="698" spans="1:5" ht="14.25" customHeight="1" x14ac:dyDescent="0.25">
      <c r="A698" s="1"/>
      <c r="B698" s="1"/>
      <c r="C698" s="1"/>
      <c r="D698" s="2"/>
      <c r="E698" s="1"/>
    </row>
    <row r="699" spans="1:5" ht="14.25" customHeight="1" x14ac:dyDescent="0.25">
      <c r="A699" s="1"/>
      <c r="B699" s="1"/>
      <c r="C699" s="1"/>
      <c r="D699" s="2"/>
      <c r="E699" s="1"/>
    </row>
    <row r="700" spans="1:5" ht="14.25" customHeight="1" x14ac:dyDescent="0.25">
      <c r="A700" s="1"/>
      <c r="B700" s="1"/>
      <c r="C700" s="1"/>
      <c r="D700" s="2"/>
      <c r="E700" s="1"/>
    </row>
    <row r="701" spans="1:5" ht="14.25" customHeight="1" x14ac:dyDescent="0.25">
      <c r="A701" s="1"/>
      <c r="B701" s="1"/>
      <c r="C701" s="1"/>
      <c r="D701" s="2"/>
      <c r="E701" s="1"/>
    </row>
    <row r="702" spans="1:5" ht="14.25" customHeight="1" x14ac:dyDescent="0.25">
      <c r="A702" s="1"/>
      <c r="B702" s="1"/>
      <c r="C702" s="1"/>
      <c r="D702" s="2"/>
      <c r="E702" s="1"/>
    </row>
    <row r="703" spans="1:5" ht="14.25" customHeight="1" x14ac:dyDescent="0.25">
      <c r="A703" s="1"/>
      <c r="B703" s="1"/>
      <c r="C703" s="1"/>
      <c r="D703" s="2"/>
      <c r="E703" s="1"/>
    </row>
    <row r="704" spans="1:5" ht="14.25" customHeight="1" x14ac:dyDescent="0.25">
      <c r="A704" s="1"/>
      <c r="B704" s="1"/>
      <c r="C704" s="1"/>
      <c r="D704" s="2"/>
      <c r="E704" s="1"/>
    </row>
    <row r="705" spans="1:5" ht="14.25" customHeight="1" x14ac:dyDescent="0.25">
      <c r="A705" s="1"/>
      <c r="B705" s="1"/>
      <c r="C705" s="1"/>
      <c r="D705" s="2"/>
      <c r="E705" s="1"/>
    </row>
    <row r="706" spans="1:5" ht="14.25" customHeight="1" x14ac:dyDescent="0.25">
      <c r="A706" s="1"/>
      <c r="B706" s="1"/>
      <c r="C706" s="1"/>
      <c r="D706" s="2"/>
      <c r="E706" s="1"/>
    </row>
    <row r="707" spans="1:5" ht="14.25" customHeight="1" x14ac:dyDescent="0.25">
      <c r="A707" s="1"/>
      <c r="B707" s="1"/>
      <c r="C707" s="1"/>
      <c r="D707" s="2"/>
      <c r="E707" s="1"/>
    </row>
    <row r="708" spans="1:5" ht="14.25" customHeight="1" x14ac:dyDescent="0.25">
      <c r="A708" s="1"/>
      <c r="B708" s="1"/>
      <c r="C708" s="1"/>
      <c r="D708" s="2"/>
      <c r="E708" s="1"/>
    </row>
    <row r="709" spans="1:5" ht="14.25" customHeight="1" x14ac:dyDescent="0.25">
      <c r="A709" s="1"/>
      <c r="B709" s="1"/>
      <c r="C709" s="1"/>
      <c r="D709" s="2"/>
      <c r="E709" s="1"/>
    </row>
    <row r="710" spans="1:5" ht="14.25" customHeight="1" x14ac:dyDescent="0.25">
      <c r="A710" s="1"/>
      <c r="B710" s="1"/>
      <c r="C710" s="1"/>
      <c r="D710" s="2"/>
      <c r="E710" s="1"/>
    </row>
    <row r="711" spans="1:5" ht="14.25" customHeight="1" x14ac:dyDescent="0.25">
      <c r="A711" s="1"/>
      <c r="B711" s="1"/>
      <c r="C711" s="1"/>
      <c r="D711" s="2"/>
      <c r="E711" s="1"/>
    </row>
    <row r="712" spans="1:5" ht="14.25" customHeight="1" x14ac:dyDescent="0.25">
      <c r="A712" s="1"/>
      <c r="B712" s="1"/>
      <c r="C712" s="1"/>
      <c r="D712" s="2"/>
      <c r="E712" s="1"/>
    </row>
    <row r="713" spans="1:5" ht="14.25" customHeight="1" x14ac:dyDescent="0.25">
      <c r="A713" s="1"/>
      <c r="B713" s="1"/>
      <c r="C713" s="1"/>
      <c r="D713" s="2"/>
      <c r="E713" s="1"/>
    </row>
    <row r="714" spans="1:5" ht="14.25" customHeight="1" x14ac:dyDescent="0.25">
      <c r="A714" s="1"/>
      <c r="B714" s="1"/>
      <c r="C714" s="1"/>
      <c r="D714" s="2"/>
      <c r="E714" s="1"/>
    </row>
    <row r="715" spans="1:5" ht="14.25" customHeight="1" x14ac:dyDescent="0.25">
      <c r="A715" s="1"/>
      <c r="B715" s="1"/>
      <c r="C715" s="1"/>
      <c r="D715" s="2"/>
      <c r="E715" s="1"/>
    </row>
    <row r="716" spans="1:5" ht="14.25" customHeight="1" x14ac:dyDescent="0.25">
      <c r="A716" s="1"/>
      <c r="B716" s="1"/>
      <c r="C716" s="1"/>
      <c r="D716" s="2"/>
      <c r="E716" s="1"/>
    </row>
    <row r="717" spans="1:5" ht="14.25" customHeight="1" x14ac:dyDescent="0.25">
      <c r="A717" s="1"/>
      <c r="B717" s="1"/>
      <c r="C717" s="1"/>
      <c r="D717" s="2"/>
      <c r="E717" s="1"/>
    </row>
    <row r="718" spans="1:5" ht="14.25" customHeight="1" x14ac:dyDescent="0.25">
      <c r="A718" s="1"/>
      <c r="B718" s="1"/>
      <c r="C718" s="1"/>
      <c r="D718" s="2"/>
      <c r="E718" s="1"/>
    </row>
    <row r="719" spans="1:5" ht="14.25" customHeight="1" x14ac:dyDescent="0.25">
      <c r="A719" s="1"/>
      <c r="B719" s="1"/>
      <c r="C719" s="1"/>
      <c r="D719" s="2"/>
      <c r="E719" s="1"/>
    </row>
    <row r="720" spans="1:5" ht="14.25" customHeight="1" x14ac:dyDescent="0.25">
      <c r="A720" s="1"/>
      <c r="B720" s="1"/>
      <c r="C720" s="1"/>
      <c r="D720" s="2"/>
      <c r="E720" s="1"/>
    </row>
    <row r="721" spans="1:5" ht="14.25" customHeight="1" x14ac:dyDescent="0.25">
      <c r="A721" s="1"/>
      <c r="B721" s="1"/>
      <c r="C721" s="1"/>
      <c r="D721" s="2"/>
      <c r="E721" s="1"/>
    </row>
    <row r="722" spans="1:5" ht="14.25" customHeight="1" x14ac:dyDescent="0.25">
      <c r="A722" s="1"/>
      <c r="B722" s="1"/>
      <c r="C722" s="1"/>
      <c r="D722" s="2"/>
      <c r="E722" s="1"/>
    </row>
    <row r="723" spans="1:5" ht="14.25" customHeight="1" x14ac:dyDescent="0.25">
      <c r="A723" s="1"/>
      <c r="B723" s="1"/>
      <c r="C723" s="1"/>
      <c r="D723" s="2"/>
      <c r="E723" s="1"/>
    </row>
    <row r="724" spans="1:5" ht="14.25" customHeight="1" x14ac:dyDescent="0.25">
      <c r="A724" s="1"/>
      <c r="B724" s="1"/>
      <c r="C724" s="1"/>
      <c r="D724" s="2"/>
      <c r="E724" s="1"/>
    </row>
    <row r="725" spans="1:5" ht="14.25" customHeight="1" x14ac:dyDescent="0.25">
      <c r="A725" s="1"/>
      <c r="B725" s="1"/>
      <c r="C725" s="1"/>
      <c r="D725" s="2"/>
      <c r="E725" s="1"/>
    </row>
    <row r="726" spans="1:5" ht="14.25" customHeight="1" x14ac:dyDescent="0.25">
      <c r="A726" s="1"/>
      <c r="B726" s="1"/>
      <c r="C726" s="1"/>
      <c r="D726" s="2"/>
      <c r="E726" s="1"/>
    </row>
    <row r="727" spans="1:5" ht="14.25" customHeight="1" x14ac:dyDescent="0.25">
      <c r="A727" s="1"/>
      <c r="B727" s="1"/>
      <c r="C727" s="1"/>
      <c r="D727" s="2"/>
      <c r="E727" s="1"/>
    </row>
    <row r="728" spans="1:5" ht="14.25" customHeight="1" x14ac:dyDescent="0.25">
      <c r="A728" s="1"/>
      <c r="B728" s="1"/>
      <c r="C728" s="1"/>
      <c r="D728" s="2"/>
      <c r="E728" s="1"/>
    </row>
    <row r="729" spans="1:5" ht="14.25" customHeight="1" x14ac:dyDescent="0.25">
      <c r="A729" s="1"/>
      <c r="B729" s="1"/>
      <c r="C729" s="1"/>
      <c r="D729" s="2"/>
      <c r="E729" s="1"/>
    </row>
    <row r="730" spans="1:5" ht="14.25" customHeight="1" x14ac:dyDescent="0.25">
      <c r="A730" s="1"/>
      <c r="B730" s="1"/>
      <c r="C730" s="1"/>
      <c r="D730" s="2"/>
      <c r="E730" s="1"/>
    </row>
    <row r="731" spans="1:5" ht="14.25" customHeight="1" x14ac:dyDescent="0.25">
      <c r="A731" s="1"/>
      <c r="B731" s="1"/>
      <c r="C731" s="1"/>
      <c r="D731" s="2"/>
      <c r="E731" s="1"/>
    </row>
    <row r="732" spans="1:5" ht="14.25" customHeight="1" x14ac:dyDescent="0.25">
      <c r="A732" s="1"/>
      <c r="B732" s="1"/>
      <c r="C732" s="1"/>
      <c r="D732" s="2"/>
      <c r="E732" s="1"/>
    </row>
    <row r="733" spans="1:5" ht="14.25" customHeight="1" x14ac:dyDescent="0.25">
      <c r="A733" s="1"/>
      <c r="B733" s="1"/>
      <c r="C733" s="1"/>
      <c r="D733" s="2"/>
      <c r="E733" s="1"/>
    </row>
    <row r="734" spans="1:5" ht="14.25" customHeight="1" x14ac:dyDescent="0.25">
      <c r="A734" s="1"/>
      <c r="B734" s="1"/>
      <c r="C734" s="1"/>
      <c r="D734" s="2"/>
      <c r="E734" s="1"/>
    </row>
    <row r="735" spans="1:5" ht="14.25" customHeight="1" x14ac:dyDescent="0.25">
      <c r="A735" s="1"/>
      <c r="B735" s="1"/>
      <c r="C735" s="1"/>
      <c r="D735" s="2"/>
      <c r="E735" s="1"/>
    </row>
    <row r="736" spans="1:5" ht="14.25" customHeight="1" x14ac:dyDescent="0.25">
      <c r="A736" s="1"/>
      <c r="B736" s="1"/>
      <c r="C736" s="1"/>
      <c r="D736" s="2"/>
      <c r="E736" s="1"/>
    </row>
    <row r="737" spans="1:5" ht="14.25" customHeight="1" x14ac:dyDescent="0.25">
      <c r="A737" s="1"/>
      <c r="B737" s="1"/>
      <c r="C737" s="1"/>
      <c r="D737" s="2"/>
      <c r="E737" s="1"/>
    </row>
    <row r="738" spans="1:5" ht="14.25" customHeight="1" x14ac:dyDescent="0.25">
      <c r="A738" s="1"/>
      <c r="B738" s="1"/>
      <c r="C738" s="1"/>
      <c r="D738" s="2"/>
      <c r="E738" s="1"/>
    </row>
    <row r="739" spans="1:5" ht="14.25" customHeight="1" x14ac:dyDescent="0.25">
      <c r="A739" s="1"/>
      <c r="B739" s="1"/>
      <c r="C739" s="1"/>
      <c r="D739" s="2"/>
      <c r="E739" s="1"/>
    </row>
    <row r="740" spans="1:5" ht="14.25" customHeight="1" x14ac:dyDescent="0.25">
      <c r="A740" s="1"/>
      <c r="B740" s="1"/>
      <c r="C740" s="1"/>
      <c r="D740" s="2"/>
      <c r="E740" s="1"/>
    </row>
    <row r="741" spans="1:5" ht="14.25" customHeight="1" x14ac:dyDescent="0.25">
      <c r="A741" s="1"/>
      <c r="B741" s="1"/>
      <c r="C741" s="1"/>
      <c r="D741" s="2"/>
      <c r="E741" s="1"/>
    </row>
    <row r="742" spans="1:5" ht="14.25" customHeight="1" x14ac:dyDescent="0.25">
      <c r="A742" s="1"/>
      <c r="B742" s="1"/>
      <c r="C742" s="1"/>
      <c r="D742" s="2"/>
      <c r="E742" s="1"/>
    </row>
    <row r="743" spans="1:5" ht="14.25" customHeight="1" x14ac:dyDescent="0.25">
      <c r="A743" s="1"/>
      <c r="B743" s="1"/>
      <c r="C743" s="1"/>
      <c r="D743" s="2"/>
      <c r="E743" s="1"/>
    </row>
    <row r="744" spans="1:5" ht="14.25" customHeight="1" x14ac:dyDescent="0.25">
      <c r="A744" s="1"/>
      <c r="B744" s="1"/>
      <c r="C744" s="1"/>
      <c r="D744" s="2"/>
      <c r="E744" s="1"/>
    </row>
    <row r="745" spans="1:5" ht="14.25" customHeight="1" x14ac:dyDescent="0.25">
      <c r="A745" s="1"/>
      <c r="B745" s="1"/>
      <c r="C745" s="1"/>
      <c r="D745" s="2"/>
      <c r="E745" s="1"/>
    </row>
    <row r="746" spans="1:5" ht="14.25" customHeight="1" x14ac:dyDescent="0.25">
      <c r="A746" s="1"/>
      <c r="B746" s="1"/>
      <c r="C746" s="1"/>
      <c r="D746" s="2"/>
      <c r="E746" s="1"/>
    </row>
    <row r="747" spans="1:5" ht="14.25" customHeight="1" x14ac:dyDescent="0.25">
      <c r="A747" s="1"/>
      <c r="B747" s="1"/>
      <c r="C747" s="1"/>
      <c r="D747" s="2"/>
      <c r="E747" s="1"/>
    </row>
    <row r="748" spans="1:5" ht="14.25" customHeight="1" x14ac:dyDescent="0.25">
      <c r="A748" s="1"/>
      <c r="B748" s="1"/>
      <c r="C748" s="1"/>
      <c r="D748" s="2"/>
      <c r="E748" s="1"/>
    </row>
    <row r="749" spans="1:5" ht="14.25" customHeight="1" x14ac:dyDescent="0.25">
      <c r="A749" s="1"/>
      <c r="B749" s="1"/>
      <c r="C749" s="1"/>
      <c r="D749" s="2"/>
      <c r="E749" s="1"/>
    </row>
    <row r="750" spans="1:5" ht="14.25" customHeight="1" x14ac:dyDescent="0.25">
      <c r="A750" s="1"/>
      <c r="B750" s="1"/>
      <c r="C750" s="1"/>
      <c r="D750" s="2"/>
      <c r="E750" s="1"/>
    </row>
    <row r="751" spans="1:5" ht="14.25" customHeight="1" x14ac:dyDescent="0.25">
      <c r="A751" s="1"/>
      <c r="B751" s="1"/>
      <c r="C751" s="1"/>
      <c r="D751" s="2"/>
      <c r="E751" s="1"/>
    </row>
    <row r="752" spans="1:5" ht="14.25" customHeight="1" x14ac:dyDescent="0.25">
      <c r="A752" s="1"/>
      <c r="B752" s="1"/>
      <c r="C752" s="1"/>
      <c r="D752" s="2"/>
      <c r="E752" s="1"/>
    </row>
    <row r="753" spans="1:5" ht="14.25" customHeight="1" x14ac:dyDescent="0.25">
      <c r="A753" s="1"/>
      <c r="B753" s="1"/>
      <c r="C753" s="1"/>
      <c r="D753" s="2"/>
      <c r="E753" s="1"/>
    </row>
    <row r="754" spans="1:5" ht="14.25" customHeight="1" x14ac:dyDescent="0.25">
      <c r="A754" s="1"/>
      <c r="B754" s="1"/>
      <c r="C754" s="1"/>
      <c r="D754" s="2"/>
      <c r="E754" s="1"/>
    </row>
    <row r="755" spans="1:5" ht="14.25" customHeight="1" x14ac:dyDescent="0.25">
      <c r="A755" s="1"/>
      <c r="B755" s="1"/>
      <c r="C755" s="1"/>
      <c r="D755" s="2"/>
      <c r="E755" s="1"/>
    </row>
    <row r="756" spans="1:5" ht="14.25" customHeight="1" x14ac:dyDescent="0.25">
      <c r="A756" s="1"/>
      <c r="B756" s="1"/>
      <c r="C756" s="1"/>
      <c r="D756" s="2"/>
      <c r="E756" s="1"/>
    </row>
    <row r="757" spans="1:5" ht="14.25" customHeight="1" x14ac:dyDescent="0.25">
      <c r="A757" s="1"/>
      <c r="B757" s="1"/>
      <c r="C757" s="1"/>
      <c r="D757" s="2"/>
      <c r="E757" s="1"/>
    </row>
    <row r="758" spans="1:5" ht="14.25" customHeight="1" x14ac:dyDescent="0.25">
      <c r="A758" s="1"/>
      <c r="B758" s="1"/>
      <c r="C758" s="1"/>
      <c r="D758" s="2"/>
      <c r="E758" s="1"/>
    </row>
    <row r="759" spans="1:5" ht="14.25" customHeight="1" x14ac:dyDescent="0.25">
      <c r="A759" s="1"/>
      <c r="B759" s="1"/>
      <c r="C759" s="1"/>
      <c r="D759" s="2"/>
      <c r="E759" s="1"/>
    </row>
    <row r="760" spans="1:5" ht="14.25" customHeight="1" x14ac:dyDescent="0.25">
      <c r="A760" s="1"/>
      <c r="B760" s="1"/>
      <c r="C760" s="1"/>
      <c r="D760" s="2"/>
      <c r="E760" s="1"/>
    </row>
    <row r="761" spans="1:5" ht="14.25" customHeight="1" x14ac:dyDescent="0.25">
      <c r="A761" s="1"/>
      <c r="B761" s="1"/>
      <c r="C761" s="1"/>
      <c r="D761" s="2"/>
      <c r="E761" s="1"/>
    </row>
    <row r="762" spans="1:5" ht="14.25" customHeight="1" x14ac:dyDescent="0.25">
      <c r="A762" s="1"/>
      <c r="B762" s="1"/>
      <c r="C762" s="1"/>
      <c r="D762" s="2"/>
      <c r="E762" s="1"/>
    </row>
    <row r="763" spans="1:5" ht="14.25" customHeight="1" x14ac:dyDescent="0.25">
      <c r="A763" s="1"/>
      <c r="B763" s="1"/>
      <c r="C763" s="1"/>
      <c r="D763" s="2"/>
      <c r="E763" s="1"/>
    </row>
    <row r="764" spans="1:5" ht="14.25" customHeight="1" x14ac:dyDescent="0.25">
      <c r="A764" s="1"/>
      <c r="B764" s="1"/>
      <c r="C764" s="1"/>
      <c r="D764" s="2"/>
      <c r="E764" s="1"/>
    </row>
    <row r="765" spans="1:5" ht="14.25" customHeight="1" x14ac:dyDescent="0.25">
      <c r="A765" s="1"/>
      <c r="B765" s="1"/>
      <c r="C765" s="1"/>
      <c r="D765" s="2"/>
      <c r="E765" s="1"/>
    </row>
    <row r="766" spans="1:5" ht="14.25" customHeight="1" x14ac:dyDescent="0.25">
      <c r="A766" s="1"/>
      <c r="B766" s="1"/>
      <c r="C766" s="1"/>
      <c r="D766" s="2"/>
      <c r="E766" s="1"/>
    </row>
    <row r="767" spans="1:5" ht="14.25" customHeight="1" x14ac:dyDescent="0.25">
      <c r="A767" s="1"/>
      <c r="B767" s="1"/>
      <c r="C767" s="1"/>
      <c r="D767" s="2"/>
      <c r="E767" s="1"/>
    </row>
    <row r="768" spans="1:5" ht="14.25" customHeight="1" x14ac:dyDescent="0.25">
      <c r="A768" s="1"/>
      <c r="B768" s="1"/>
      <c r="C768" s="1"/>
      <c r="D768" s="2"/>
      <c r="E768" s="1"/>
    </row>
    <row r="769" spans="1:5" ht="14.25" customHeight="1" x14ac:dyDescent="0.25">
      <c r="A769" s="1"/>
      <c r="B769" s="1"/>
      <c r="C769" s="1"/>
      <c r="D769" s="2"/>
      <c r="E769" s="1"/>
    </row>
    <row r="770" spans="1:5" ht="14.25" customHeight="1" x14ac:dyDescent="0.25">
      <c r="A770" s="1"/>
      <c r="B770" s="1"/>
      <c r="C770" s="1"/>
      <c r="D770" s="2"/>
      <c r="E770" s="1"/>
    </row>
    <row r="771" spans="1:5" ht="14.25" customHeight="1" x14ac:dyDescent="0.25">
      <c r="A771" s="1"/>
      <c r="B771" s="1"/>
      <c r="C771" s="1"/>
      <c r="D771" s="2"/>
      <c r="E771" s="1"/>
    </row>
    <row r="772" spans="1:5" ht="14.25" customHeight="1" x14ac:dyDescent="0.25">
      <c r="A772" s="1"/>
      <c r="B772" s="1"/>
      <c r="C772" s="1"/>
      <c r="D772" s="2"/>
      <c r="E772" s="1"/>
    </row>
    <row r="773" spans="1:5" ht="14.25" customHeight="1" x14ac:dyDescent="0.25">
      <c r="A773" s="1"/>
      <c r="B773" s="1"/>
      <c r="C773" s="1"/>
      <c r="D773" s="2"/>
      <c r="E773" s="1"/>
    </row>
    <row r="774" spans="1:5" ht="14.25" customHeight="1" x14ac:dyDescent="0.25">
      <c r="A774" s="1"/>
      <c r="B774" s="1"/>
      <c r="C774" s="1"/>
      <c r="D774" s="2"/>
      <c r="E774" s="1"/>
    </row>
    <row r="775" spans="1:5" ht="14.25" customHeight="1" x14ac:dyDescent="0.25">
      <c r="A775" s="1"/>
      <c r="B775" s="1"/>
      <c r="C775" s="1"/>
      <c r="D775" s="2"/>
      <c r="E775" s="1"/>
    </row>
    <row r="776" spans="1:5" ht="14.25" customHeight="1" x14ac:dyDescent="0.25">
      <c r="A776" s="1"/>
      <c r="B776" s="1"/>
      <c r="C776" s="1"/>
      <c r="D776" s="2"/>
      <c r="E776" s="1"/>
    </row>
    <row r="777" spans="1:5" ht="14.25" customHeight="1" x14ac:dyDescent="0.25">
      <c r="A777" s="1"/>
      <c r="B777" s="1"/>
      <c r="C777" s="1"/>
      <c r="D777" s="2"/>
      <c r="E777" s="1"/>
    </row>
    <row r="778" spans="1:5" ht="14.25" customHeight="1" x14ac:dyDescent="0.25">
      <c r="A778" s="1"/>
      <c r="B778" s="1"/>
      <c r="C778" s="1"/>
      <c r="D778" s="2"/>
      <c r="E778" s="1"/>
    </row>
    <row r="779" spans="1:5" ht="14.25" customHeight="1" x14ac:dyDescent="0.25">
      <c r="A779" s="1"/>
      <c r="B779" s="1"/>
      <c r="C779" s="1"/>
      <c r="D779" s="2"/>
      <c r="E779" s="1"/>
    </row>
    <row r="780" spans="1:5" ht="14.25" customHeight="1" x14ac:dyDescent="0.25">
      <c r="A780" s="1"/>
      <c r="B780" s="1"/>
      <c r="C780" s="1"/>
      <c r="D780" s="2"/>
      <c r="E780" s="1"/>
    </row>
    <row r="781" spans="1:5" ht="14.25" customHeight="1" x14ac:dyDescent="0.25">
      <c r="A781" s="1"/>
      <c r="B781" s="1"/>
      <c r="C781" s="1"/>
      <c r="D781" s="2"/>
      <c r="E781" s="1"/>
    </row>
    <row r="782" spans="1:5" ht="14.25" customHeight="1" x14ac:dyDescent="0.25">
      <c r="A782" s="1"/>
      <c r="B782" s="1"/>
      <c r="C782" s="1"/>
      <c r="D782" s="2"/>
      <c r="E782" s="1"/>
    </row>
    <row r="783" spans="1:5" ht="14.25" customHeight="1" x14ac:dyDescent="0.25">
      <c r="A783" s="1"/>
      <c r="B783" s="1"/>
      <c r="C783" s="1"/>
      <c r="D783" s="2"/>
      <c r="E783" s="1"/>
    </row>
    <row r="784" spans="1:5" ht="14.25" customHeight="1" x14ac:dyDescent="0.25">
      <c r="A784" s="1"/>
      <c r="B784" s="1"/>
      <c r="C784" s="1"/>
      <c r="D784" s="2"/>
      <c r="E784" s="1"/>
    </row>
    <row r="785" spans="1:5" ht="14.25" customHeight="1" x14ac:dyDescent="0.25">
      <c r="A785" s="1"/>
      <c r="B785" s="1"/>
      <c r="C785" s="1"/>
      <c r="D785" s="2"/>
      <c r="E785" s="1"/>
    </row>
    <row r="786" spans="1:5" ht="14.25" customHeight="1" x14ac:dyDescent="0.25">
      <c r="A786" s="1"/>
      <c r="B786" s="1"/>
      <c r="C786" s="1"/>
      <c r="D786" s="2"/>
      <c r="E786" s="1"/>
    </row>
    <row r="787" spans="1:5" ht="14.25" customHeight="1" x14ac:dyDescent="0.25">
      <c r="A787" s="1"/>
      <c r="B787" s="1"/>
      <c r="C787" s="1"/>
      <c r="D787" s="2"/>
      <c r="E787" s="1"/>
    </row>
    <row r="788" spans="1:5" ht="14.25" customHeight="1" x14ac:dyDescent="0.25">
      <c r="A788" s="1"/>
      <c r="B788" s="1"/>
      <c r="C788" s="1"/>
      <c r="D788" s="2"/>
      <c r="E788" s="1"/>
    </row>
    <row r="789" spans="1:5" ht="14.25" customHeight="1" x14ac:dyDescent="0.25">
      <c r="A789" s="1"/>
      <c r="B789" s="1"/>
      <c r="C789" s="1"/>
      <c r="D789" s="2"/>
      <c r="E789" s="1"/>
    </row>
    <row r="790" spans="1:5" ht="14.25" customHeight="1" x14ac:dyDescent="0.25">
      <c r="A790" s="1"/>
      <c r="B790" s="1"/>
      <c r="C790" s="1"/>
      <c r="D790" s="2"/>
      <c r="E790" s="1"/>
    </row>
    <row r="791" spans="1:5" ht="14.25" customHeight="1" x14ac:dyDescent="0.25">
      <c r="A791" s="1"/>
      <c r="B791" s="1"/>
      <c r="C791" s="1"/>
      <c r="D791" s="2"/>
      <c r="E791" s="1"/>
    </row>
    <row r="792" spans="1:5" ht="14.25" customHeight="1" x14ac:dyDescent="0.25">
      <c r="A792" s="1"/>
      <c r="B792" s="1"/>
      <c r="C792" s="1"/>
      <c r="D792" s="2"/>
      <c r="E792" s="1"/>
    </row>
    <row r="793" spans="1:5" ht="14.25" customHeight="1" x14ac:dyDescent="0.25">
      <c r="A793" s="1"/>
      <c r="B793" s="1"/>
      <c r="C793" s="1"/>
      <c r="D793" s="2"/>
      <c r="E793" s="1"/>
    </row>
    <row r="794" spans="1:5" ht="14.25" customHeight="1" x14ac:dyDescent="0.25">
      <c r="A794" s="1"/>
      <c r="B794" s="1"/>
      <c r="C794" s="1"/>
      <c r="D794" s="2"/>
      <c r="E794" s="1"/>
    </row>
    <row r="795" spans="1:5" ht="14.25" customHeight="1" x14ac:dyDescent="0.25">
      <c r="A795" s="1"/>
      <c r="B795" s="1"/>
      <c r="C795" s="1"/>
      <c r="D795" s="2"/>
      <c r="E795" s="1"/>
    </row>
    <row r="796" spans="1:5" ht="14.25" customHeight="1" x14ac:dyDescent="0.25">
      <c r="A796" s="1"/>
      <c r="B796" s="1"/>
      <c r="C796" s="1"/>
      <c r="D796" s="2"/>
      <c r="E796" s="1"/>
    </row>
    <row r="797" spans="1:5" ht="14.25" customHeight="1" x14ac:dyDescent="0.25">
      <c r="A797" s="1"/>
      <c r="B797" s="1"/>
      <c r="C797" s="1"/>
      <c r="D797" s="2"/>
      <c r="E797" s="1"/>
    </row>
    <row r="798" spans="1:5" ht="14.25" customHeight="1" x14ac:dyDescent="0.25">
      <c r="A798" s="1"/>
      <c r="B798" s="1"/>
      <c r="C798" s="1"/>
      <c r="D798" s="2"/>
      <c r="E798" s="1"/>
    </row>
    <row r="799" spans="1:5" ht="14.25" customHeight="1" x14ac:dyDescent="0.25">
      <c r="A799" s="1"/>
      <c r="B799" s="1"/>
      <c r="C799" s="1"/>
      <c r="D799" s="2"/>
      <c r="E799" s="1"/>
    </row>
    <row r="800" spans="1:5" ht="14.25" customHeight="1" x14ac:dyDescent="0.25">
      <c r="A800" s="1"/>
      <c r="B800" s="1"/>
      <c r="C800" s="1"/>
      <c r="D800" s="2"/>
      <c r="E800" s="1"/>
    </row>
    <row r="801" spans="1:5" ht="14.25" customHeight="1" x14ac:dyDescent="0.25">
      <c r="A801" s="1"/>
      <c r="B801" s="1"/>
      <c r="C801" s="1"/>
      <c r="D801" s="2"/>
      <c r="E801" s="1"/>
    </row>
    <row r="802" spans="1:5" ht="14.25" customHeight="1" x14ac:dyDescent="0.25">
      <c r="A802" s="1"/>
      <c r="B802" s="1"/>
      <c r="C802" s="1"/>
      <c r="D802" s="2"/>
      <c r="E802" s="1"/>
    </row>
    <row r="803" spans="1:5" ht="14.25" customHeight="1" x14ac:dyDescent="0.25">
      <c r="A803" s="1"/>
      <c r="B803" s="1"/>
      <c r="C803" s="1"/>
      <c r="D803" s="2"/>
      <c r="E803" s="1"/>
    </row>
    <row r="804" spans="1:5" ht="14.25" customHeight="1" x14ac:dyDescent="0.25">
      <c r="A804" s="1"/>
      <c r="B804" s="1"/>
      <c r="C804" s="1"/>
      <c r="D804" s="2"/>
      <c r="E804" s="1"/>
    </row>
    <row r="805" spans="1:5" ht="14.25" customHeight="1" x14ac:dyDescent="0.25">
      <c r="A805" s="1"/>
      <c r="B805" s="1"/>
      <c r="C805" s="1"/>
      <c r="D805" s="2"/>
      <c r="E805" s="1"/>
    </row>
    <row r="806" spans="1:5" ht="14.25" customHeight="1" x14ac:dyDescent="0.25">
      <c r="A806" s="1"/>
      <c r="B806" s="1"/>
      <c r="C806" s="1"/>
      <c r="D806" s="2"/>
      <c r="E806" s="1"/>
    </row>
    <row r="807" spans="1:5" ht="14.25" customHeight="1" x14ac:dyDescent="0.25">
      <c r="A807" s="1"/>
      <c r="B807" s="1"/>
      <c r="C807" s="1"/>
      <c r="D807" s="2"/>
      <c r="E807" s="1"/>
    </row>
    <row r="808" spans="1:5" ht="14.25" customHeight="1" x14ac:dyDescent="0.25">
      <c r="A808" s="1"/>
      <c r="B808" s="1"/>
      <c r="C808" s="1"/>
      <c r="D808" s="2"/>
      <c r="E808" s="1"/>
    </row>
    <row r="809" spans="1:5" ht="14.25" customHeight="1" x14ac:dyDescent="0.25">
      <c r="A809" s="1"/>
      <c r="B809" s="1"/>
      <c r="C809" s="1"/>
      <c r="D809" s="2"/>
      <c r="E809" s="1"/>
    </row>
    <row r="810" spans="1:5" ht="14.25" customHeight="1" x14ac:dyDescent="0.25">
      <c r="A810" s="1"/>
      <c r="B810" s="1"/>
      <c r="C810" s="1"/>
      <c r="D810" s="2"/>
      <c r="E810" s="1"/>
    </row>
    <row r="811" spans="1:5" ht="14.25" customHeight="1" x14ac:dyDescent="0.25">
      <c r="A811" s="1"/>
      <c r="B811" s="1"/>
      <c r="C811" s="1"/>
      <c r="D811" s="2"/>
      <c r="E811" s="1"/>
    </row>
    <row r="812" spans="1:5" ht="14.25" customHeight="1" x14ac:dyDescent="0.25">
      <c r="A812" s="1"/>
      <c r="B812" s="1"/>
      <c r="C812" s="1"/>
      <c r="D812" s="2"/>
      <c r="E812" s="1"/>
    </row>
    <row r="813" spans="1:5" ht="14.25" customHeight="1" x14ac:dyDescent="0.25">
      <c r="A813" s="1"/>
      <c r="B813" s="1"/>
      <c r="C813" s="1"/>
      <c r="D813" s="2"/>
      <c r="E813" s="1"/>
    </row>
    <row r="814" spans="1:5" ht="14.25" customHeight="1" x14ac:dyDescent="0.25">
      <c r="A814" s="1"/>
      <c r="B814" s="1"/>
      <c r="C814" s="1"/>
      <c r="D814" s="2"/>
      <c r="E814" s="1"/>
    </row>
    <row r="815" spans="1:5" ht="14.25" customHeight="1" x14ac:dyDescent="0.25">
      <c r="A815" s="1"/>
      <c r="B815" s="1"/>
      <c r="C815" s="1"/>
      <c r="D815" s="2"/>
      <c r="E815" s="1"/>
    </row>
    <row r="816" spans="1:5" ht="14.25" customHeight="1" x14ac:dyDescent="0.25">
      <c r="A816" s="1"/>
      <c r="B816" s="1"/>
      <c r="C816" s="1"/>
      <c r="D816" s="2"/>
      <c r="E816" s="1"/>
    </row>
    <row r="817" spans="1:5" ht="14.25" customHeight="1" x14ac:dyDescent="0.25">
      <c r="A817" s="1"/>
      <c r="B817" s="1"/>
      <c r="C817" s="1"/>
      <c r="D817" s="2"/>
      <c r="E817" s="1"/>
    </row>
    <row r="818" spans="1:5" ht="14.25" customHeight="1" x14ac:dyDescent="0.25">
      <c r="A818" s="1"/>
      <c r="B818" s="1"/>
      <c r="C818" s="1"/>
      <c r="D818" s="2"/>
      <c r="E818" s="1"/>
    </row>
    <row r="819" spans="1:5" ht="14.25" customHeight="1" x14ac:dyDescent="0.25">
      <c r="A819" s="1"/>
      <c r="B819" s="1"/>
      <c r="C819" s="1"/>
      <c r="D819" s="2"/>
      <c r="E819" s="1"/>
    </row>
    <row r="820" spans="1:5" ht="14.25" customHeight="1" x14ac:dyDescent="0.25">
      <c r="A820" s="1"/>
      <c r="B820" s="1"/>
      <c r="C820" s="1"/>
      <c r="D820" s="2"/>
      <c r="E820" s="1"/>
    </row>
    <row r="821" spans="1:5" ht="14.25" customHeight="1" x14ac:dyDescent="0.25">
      <c r="A821" s="1"/>
      <c r="B821" s="1"/>
      <c r="C821" s="1"/>
      <c r="D821" s="2"/>
      <c r="E821" s="1"/>
    </row>
    <row r="822" spans="1:5" ht="14.25" customHeight="1" x14ac:dyDescent="0.25">
      <c r="A822" s="1"/>
      <c r="B822" s="1"/>
      <c r="C822" s="1"/>
      <c r="D822" s="2"/>
      <c r="E822" s="1"/>
    </row>
    <row r="823" spans="1:5" ht="14.25" customHeight="1" x14ac:dyDescent="0.25">
      <c r="A823" s="1"/>
      <c r="B823" s="1"/>
      <c r="C823" s="1"/>
      <c r="D823" s="2"/>
      <c r="E823" s="1"/>
    </row>
    <row r="824" spans="1:5" ht="14.25" customHeight="1" x14ac:dyDescent="0.25">
      <c r="A824" s="1"/>
      <c r="B824" s="1"/>
      <c r="C824" s="1"/>
      <c r="D824" s="2"/>
      <c r="E824" s="1"/>
    </row>
    <row r="825" spans="1:5" ht="14.25" customHeight="1" x14ac:dyDescent="0.25">
      <c r="A825" s="1"/>
      <c r="B825" s="1"/>
      <c r="C825" s="1"/>
      <c r="D825" s="2"/>
      <c r="E825" s="1"/>
    </row>
    <row r="826" spans="1:5" ht="14.25" customHeight="1" x14ac:dyDescent="0.25">
      <c r="A826" s="1"/>
      <c r="B826" s="1"/>
      <c r="C826" s="1"/>
      <c r="D826" s="2"/>
      <c r="E826" s="1"/>
    </row>
    <row r="827" spans="1:5" ht="14.25" customHeight="1" x14ac:dyDescent="0.25">
      <c r="A827" s="1"/>
      <c r="B827" s="1"/>
      <c r="C827" s="1"/>
      <c r="D827" s="2"/>
      <c r="E827" s="1"/>
    </row>
    <row r="828" spans="1:5" ht="14.25" customHeight="1" x14ac:dyDescent="0.25">
      <c r="A828" s="1"/>
      <c r="B828" s="1"/>
      <c r="C828" s="1"/>
      <c r="D828" s="2"/>
      <c r="E828" s="1"/>
    </row>
    <row r="829" spans="1:5" ht="14.25" customHeight="1" x14ac:dyDescent="0.25">
      <c r="A829" s="1"/>
      <c r="B829" s="1"/>
      <c r="C829" s="1"/>
      <c r="D829" s="2"/>
      <c r="E829" s="1"/>
    </row>
    <row r="830" spans="1:5" ht="14.25" customHeight="1" x14ac:dyDescent="0.25">
      <c r="A830" s="1"/>
      <c r="B830" s="1"/>
      <c r="C830" s="1"/>
      <c r="D830" s="2"/>
      <c r="E830" s="1"/>
    </row>
    <row r="831" spans="1:5" ht="14.25" customHeight="1" x14ac:dyDescent="0.25">
      <c r="A831" s="1"/>
      <c r="B831" s="1"/>
      <c r="C831" s="1"/>
      <c r="D831" s="2"/>
      <c r="E831" s="1"/>
    </row>
    <row r="832" spans="1:5" ht="14.25" customHeight="1" x14ac:dyDescent="0.25">
      <c r="A832" s="1"/>
      <c r="B832" s="1"/>
      <c r="C832" s="1"/>
      <c r="D832" s="2"/>
      <c r="E832" s="1"/>
    </row>
    <row r="833" spans="1:5" ht="14.25" customHeight="1" x14ac:dyDescent="0.25">
      <c r="A833" s="1"/>
      <c r="B833" s="1"/>
      <c r="C833" s="1"/>
      <c r="D833" s="2"/>
      <c r="E833" s="1"/>
    </row>
    <row r="834" spans="1:5" ht="14.25" customHeight="1" x14ac:dyDescent="0.25">
      <c r="A834" s="1"/>
      <c r="B834" s="1"/>
      <c r="C834" s="1"/>
      <c r="D834" s="2"/>
      <c r="E834" s="1"/>
    </row>
    <row r="835" spans="1:5" ht="14.25" customHeight="1" x14ac:dyDescent="0.25">
      <c r="A835" s="1"/>
      <c r="B835" s="1"/>
      <c r="C835" s="1"/>
      <c r="D835" s="2"/>
      <c r="E835" s="1"/>
    </row>
    <row r="836" spans="1:5" ht="14.25" customHeight="1" x14ac:dyDescent="0.25">
      <c r="A836" s="1"/>
      <c r="B836" s="1"/>
      <c r="C836" s="1"/>
      <c r="D836" s="2"/>
      <c r="E836" s="1"/>
    </row>
    <row r="837" spans="1:5" ht="14.25" customHeight="1" x14ac:dyDescent="0.25">
      <c r="A837" s="1"/>
      <c r="B837" s="1"/>
      <c r="C837" s="1"/>
      <c r="D837" s="2"/>
      <c r="E837" s="1"/>
    </row>
    <row r="838" spans="1:5" ht="14.25" customHeight="1" x14ac:dyDescent="0.25">
      <c r="A838" s="1"/>
      <c r="B838" s="1"/>
      <c r="C838" s="1"/>
      <c r="D838" s="2"/>
      <c r="E838" s="1"/>
    </row>
    <row r="839" spans="1:5" ht="14.25" customHeight="1" x14ac:dyDescent="0.25">
      <c r="A839" s="1"/>
      <c r="B839" s="1"/>
      <c r="C839" s="1"/>
      <c r="D839" s="2"/>
      <c r="E839" s="1"/>
    </row>
    <row r="840" spans="1:5" ht="14.25" customHeight="1" x14ac:dyDescent="0.25">
      <c r="A840" s="1"/>
      <c r="B840" s="1"/>
      <c r="C840" s="1"/>
      <c r="D840" s="2"/>
      <c r="E840" s="1"/>
    </row>
    <row r="841" spans="1:5" ht="14.25" customHeight="1" x14ac:dyDescent="0.25">
      <c r="A841" s="1"/>
      <c r="B841" s="1"/>
      <c r="C841" s="1"/>
      <c r="D841" s="2"/>
      <c r="E841" s="1"/>
    </row>
    <row r="842" spans="1:5" ht="14.25" customHeight="1" x14ac:dyDescent="0.25">
      <c r="A842" s="1"/>
      <c r="B842" s="1"/>
      <c r="C842" s="1"/>
      <c r="D842" s="2"/>
      <c r="E842" s="1"/>
    </row>
    <row r="843" spans="1:5" ht="14.25" customHeight="1" x14ac:dyDescent="0.25">
      <c r="A843" s="1"/>
      <c r="B843" s="1"/>
      <c r="C843" s="1"/>
      <c r="D843" s="2"/>
      <c r="E843" s="1"/>
    </row>
    <row r="844" spans="1:5" ht="14.25" customHeight="1" x14ac:dyDescent="0.25">
      <c r="A844" s="1"/>
      <c r="B844" s="1"/>
      <c r="C844" s="1"/>
      <c r="D844" s="2"/>
      <c r="E844" s="1"/>
    </row>
    <row r="845" spans="1:5" ht="14.25" customHeight="1" x14ac:dyDescent="0.25">
      <c r="A845" s="1"/>
      <c r="B845" s="1"/>
      <c r="C845" s="1"/>
      <c r="D845" s="2"/>
      <c r="E845" s="1"/>
    </row>
    <row r="846" spans="1:5" ht="14.25" customHeight="1" x14ac:dyDescent="0.25">
      <c r="A846" s="1"/>
      <c r="B846" s="1"/>
      <c r="C846" s="1"/>
      <c r="D846" s="2"/>
      <c r="E846" s="1"/>
    </row>
    <row r="847" spans="1:5" ht="14.25" customHeight="1" x14ac:dyDescent="0.25">
      <c r="A847" s="1"/>
      <c r="B847" s="1"/>
      <c r="C847" s="1"/>
      <c r="D847" s="2"/>
      <c r="E847" s="1"/>
    </row>
    <row r="848" spans="1:5" ht="14.25" customHeight="1" x14ac:dyDescent="0.25">
      <c r="A848" s="1"/>
      <c r="B848" s="1"/>
      <c r="C848" s="1"/>
      <c r="D848" s="2"/>
      <c r="E848" s="1"/>
    </row>
    <row r="849" spans="1:5" ht="14.25" customHeight="1" x14ac:dyDescent="0.25">
      <c r="A849" s="1"/>
      <c r="B849" s="1"/>
      <c r="C849" s="1"/>
      <c r="D849" s="2"/>
      <c r="E849" s="1"/>
    </row>
    <row r="850" spans="1:5" ht="14.25" customHeight="1" x14ac:dyDescent="0.25">
      <c r="A850" s="1"/>
      <c r="B850" s="1"/>
      <c r="C850" s="1"/>
      <c r="D850" s="2"/>
      <c r="E850" s="1"/>
    </row>
    <row r="851" spans="1:5" ht="14.25" customHeight="1" x14ac:dyDescent="0.25">
      <c r="A851" s="1"/>
      <c r="B851" s="1"/>
      <c r="C851" s="1"/>
      <c r="D851" s="2"/>
      <c r="E851" s="1"/>
    </row>
    <row r="852" spans="1:5" ht="14.25" customHeight="1" x14ac:dyDescent="0.25">
      <c r="A852" s="1"/>
      <c r="B852" s="1"/>
      <c r="C852" s="1"/>
      <c r="D852" s="2"/>
      <c r="E852" s="1"/>
    </row>
    <row r="853" spans="1:5" ht="14.25" customHeight="1" x14ac:dyDescent="0.25">
      <c r="A853" s="1"/>
      <c r="B853" s="1"/>
      <c r="C853" s="1"/>
      <c r="D853" s="2"/>
      <c r="E853" s="1"/>
    </row>
    <row r="854" spans="1:5" ht="14.25" customHeight="1" x14ac:dyDescent="0.25">
      <c r="A854" s="1"/>
      <c r="B854" s="1"/>
      <c r="C854" s="1"/>
      <c r="D854" s="2"/>
      <c r="E854" s="1"/>
    </row>
    <row r="855" spans="1:5" ht="14.25" customHeight="1" x14ac:dyDescent="0.25">
      <c r="A855" s="1"/>
      <c r="B855" s="1"/>
      <c r="C855" s="1"/>
      <c r="D855" s="2"/>
      <c r="E855" s="1"/>
    </row>
    <row r="856" spans="1:5" ht="14.25" customHeight="1" x14ac:dyDescent="0.25">
      <c r="A856" s="1"/>
      <c r="B856" s="1"/>
      <c r="C856" s="1"/>
      <c r="D856" s="2"/>
      <c r="E856" s="1"/>
    </row>
    <row r="857" spans="1:5" ht="14.25" customHeight="1" x14ac:dyDescent="0.25">
      <c r="A857" s="1"/>
      <c r="B857" s="1"/>
      <c r="C857" s="1"/>
      <c r="D857" s="2"/>
      <c r="E857" s="1"/>
    </row>
    <row r="858" spans="1:5" ht="14.25" customHeight="1" x14ac:dyDescent="0.25">
      <c r="A858" s="1"/>
      <c r="B858" s="1"/>
      <c r="C858" s="1"/>
      <c r="D858" s="2"/>
      <c r="E858" s="1"/>
    </row>
    <row r="859" spans="1:5" ht="14.25" customHeight="1" x14ac:dyDescent="0.25">
      <c r="A859" s="1"/>
      <c r="B859" s="1"/>
      <c r="C859" s="1"/>
      <c r="D859" s="2"/>
      <c r="E859" s="1"/>
    </row>
    <row r="860" spans="1:5" ht="14.25" customHeight="1" x14ac:dyDescent="0.25">
      <c r="A860" s="1"/>
      <c r="B860" s="1"/>
      <c r="C860" s="1"/>
      <c r="D860" s="2"/>
      <c r="E860" s="1"/>
    </row>
    <row r="861" spans="1:5" ht="14.25" customHeight="1" x14ac:dyDescent="0.25">
      <c r="A861" s="1"/>
      <c r="B861" s="1"/>
      <c r="C861" s="1"/>
      <c r="D861" s="2"/>
      <c r="E861" s="1"/>
    </row>
    <row r="862" spans="1:5" ht="14.25" customHeight="1" x14ac:dyDescent="0.25">
      <c r="A862" s="1"/>
      <c r="B862" s="1"/>
      <c r="C862" s="1"/>
      <c r="D862" s="2"/>
      <c r="E862" s="1"/>
    </row>
    <row r="863" spans="1:5" ht="14.25" customHeight="1" x14ac:dyDescent="0.25">
      <c r="A863" s="1"/>
      <c r="B863" s="1"/>
      <c r="C863" s="1"/>
      <c r="D863" s="2"/>
      <c r="E863" s="1"/>
    </row>
    <row r="864" spans="1:5" ht="14.25" customHeight="1" x14ac:dyDescent="0.25">
      <c r="A864" s="1"/>
      <c r="B864" s="1"/>
      <c r="C864" s="1"/>
      <c r="D864" s="2"/>
      <c r="E864" s="1"/>
    </row>
    <row r="865" spans="1:5" ht="14.25" customHeight="1" x14ac:dyDescent="0.25">
      <c r="A865" s="1"/>
      <c r="B865" s="1"/>
      <c r="C865" s="1"/>
      <c r="D865" s="2"/>
      <c r="E865" s="1"/>
    </row>
    <row r="866" spans="1:5" ht="14.25" customHeight="1" x14ac:dyDescent="0.25">
      <c r="A866" s="1"/>
      <c r="B866" s="1"/>
      <c r="C866" s="1"/>
      <c r="D866" s="2"/>
      <c r="E866" s="1"/>
    </row>
    <row r="867" spans="1:5" ht="14.25" customHeight="1" x14ac:dyDescent="0.25">
      <c r="A867" s="1"/>
      <c r="B867" s="1"/>
      <c r="C867" s="1"/>
      <c r="D867" s="2"/>
      <c r="E867" s="1"/>
    </row>
    <row r="868" spans="1:5" ht="14.25" customHeight="1" x14ac:dyDescent="0.25">
      <c r="A868" s="1"/>
      <c r="B868" s="1"/>
      <c r="C868" s="1"/>
      <c r="D868" s="2"/>
      <c r="E868" s="1"/>
    </row>
    <row r="869" spans="1:5" ht="14.25" customHeight="1" x14ac:dyDescent="0.25">
      <c r="A869" s="1"/>
      <c r="B869" s="1"/>
      <c r="C869" s="1"/>
      <c r="D869" s="2"/>
      <c r="E869" s="1"/>
    </row>
    <row r="870" spans="1:5" ht="14.25" customHeight="1" x14ac:dyDescent="0.25">
      <c r="A870" s="1"/>
      <c r="B870" s="1"/>
      <c r="C870" s="1"/>
      <c r="D870" s="2"/>
      <c r="E870" s="1"/>
    </row>
    <row r="871" spans="1:5" ht="14.25" customHeight="1" x14ac:dyDescent="0.25">
      <c r="A871" s="1"/>
      <c r="B871" s="1"/>
      <c r="C871" s="1"/>
      <c r="D871" s="2"/>
      <c r="E871" s="1"/>
    </row>
    <row r="872" spans="1:5" ht="14.25" customHeight="1" x14ac:dyDescent="0.25">
      <c r="A872" s="1"/>
      <c r="B872" s="1"/>
      <c r="C872" s="1"/>
      <c r="D872" s="2"/>
      <c r="E872" s="1"/>
    </row>
    <row r="873" spans="1:5" ht="14.25" customHeight="1" x14ac:dyDescent="0.25">
      <c r="A873" s="1"/>
      <c r="B873" s="1"/>
      <c r="C873" s="1"/>
      <c r="D873" s="2"/>
      <c r="E873" s="1"/>
    </row>
    <row r="874" spans="1:5" ht="14.25" customHeight="1" x14ac:dyDescent="0.25">
      <c r="A874" s="1"/>
      <c r="B874" s="1"/>
      <c r="C874" s="1"/>
      <c r="D874" s="2"/>
      <c r="E874" s="1"/>
    </row>
    <row r="875" spans="1:5" ht="14.25" customHeight="1" x14ac:dyDescent="0.25">
      <c r="A875" s="1"/>
      <c r="B875" s="1"/>
      <c r="C875" s="1"/>
      <c r="D875" s="2"/>
      <c r="E875" s="1"/>
    </row>
    <row r="876" spans="1:5" ht="14.25" customHeight="1" x14ac:dyDescent="0.25">
      <c r="A876" s="1"/>
      <c r="B876" s="1"/>
      <c r="C876" s="1"/>
      <c r="D876" s="2"/>
      <c r="E876" s="1"/>
    </row>
    <row r="877" spans="1:5" ht="14.25" customHeight="1" x14ac:dyDescent="0.25">
      <c r="A877" s="1"/>
      <c r="B877" s="1"/>
      <c r="C877" s="1"/>
      <c r="D877" s="2"/>
      <c r="E877" s="1"/>
    </row>
    <row r="878" spans="1:5" ht="14.25" customHeight="1" x14ac:dyDescent="0.25">
      <c r="A878" s="1"/>
      <c r="B878" s="1"/>
      <c r="C878" s="1"/>
      <c r="D878" s="2"/>
      <c r="E878" s="1"/>
    </row>
    <row r="879" spans="1:5" ht="14.25" customHeight="1" x14ac:dyDescent="0.25">
      <c r="A879" s="1"/>
      <c r="B879" s="1"/>
      <c r="C879" s="1"/>
      <c r="D879" s="2"/>
      <c r="E879" s="1"/>
    </row>
    <row r="880" spans="1:5" ht="14.25" customHeight="1" x14ac:dyDescent="0.25">
      <c r="A880" s="1"/>
      <c r="B880" s="1"/>
      <c r="C880" s="1"/>
      <c r="D880" s="2"/>
      <c r="E880" s="1"/>
    </row>
    <row r="881" spans="1:5" ht="14.25" customHeight="1" x14ac:dyDescent="0.25">
      <c r="A881" s="1"/>
      <c r="B881" s="1"/>
      <c r="C881" s="1"/>
      <c r="D881" s="2"/>
      <c r="E881" s="1"/>
    </row>
    <row r="882" spans="1:5" ht="14.25" customHeight="1" x14ac:dyDescent="0.25">
      <c r="A882" s="1"/>
      <c r="B882" s="1"/>
      <c r="C882" s="1"/>
      <c r="D882" s="2"/>
      <c r="E882" s="1"/>
    </row>
    <row r="883" spans="1:5" ht="14.25" customHeight="1" x14ac:dyDescent="0.25">
      <c r="A883" s="1"/>
      <c r="B883" s="1"/>
      <c r="C883" s="1"/>
      <c r="D883" s="2"/>
      <c r="E883" s="1"/>
    </row>
    <row r="884" spans="1:5" ht="14.25" customHeight="1" x14ac:dyDescent="0.25">
      <c r="A884" s="1"/>
      <c r="B884" s="1"/>
      <c r="C884" s="1"/>
      <c r="D884" s="2"/>
      <c r="E884" s="1"/>
    </row>
    <row r="885" spans="1:5" ht="14.25" customHeight="1" x14ac:dyDescent="0.25">
      <c r="A885" s="1"/>
      <c r="B885" s="1"/>
      <c r="C885" s="1"/>
      <c r="D885" s="2"/>
      <c r="E885" s="1"/>
    </row>
    <row r="886" spans="1:5" ht="14.25" customHeight="1" x14ac:dyDescent="0.25">
      <c r="A886" s="1"/>
      <c r="B886" s="1"/>
      <c r="C886" s="1"/>
      <c r="D886" s="2"/>
      <c r="E886" s="1"/>
    </row>
    <row r="887" spans="1:5" ht="14.25" customHeight="1" x14ac:dyDescent="0.25">
      <c r="A887" s="1"/>
      <c r="B887" s="1"/>
      <c r="C887" s="1"/>
      <c r="D887" s="2"/>
      <c r="E887" s="1"/>
    </row>
    <row r="888" spans="1:5" ht="14.25" customHeight="1" x14ac:dyDescent="0.25">
      <c r="A888" s="1"/>
      <c r="B888" s="1"/>
      <c r="C888" s="1"/>
      <c r="D888" s="2"/>
      <c r="E888" s="1"/>
    </row>
    <row r="889" spans="1:5" ht="14.25" customHeight="1" x14ac:dyDescent="0.25">
      <c r="A889" s="1"/>
      <c r="B889" s="1"/>
      <c r="C889" s="1"/>
      <c r="D889" s="2"/>
      <c r="E889" s="1"/>
    </row>
    <row r="890" spans="1:5" ht="14.25" customHeight="1" x14ac:dyDescent="0.25">
      <c r="A890" s="1"/>
      <c r="B890" s="1"/>
      <c r="C890" s="1"/>
      <c r="D890" s="2"/>
      <c r="E890" s="1"/>
    </row>
    <row r="891" spans="1:5" ht="14.25" customHeight="1" x14ac:dyDescent="0.25">
      <c r="A891" s="1"/>
      <c r="B891" s="1"/>
      <c r="C891" s="1"/>
      <c r="D891" s="2"/>
      <c r="E891" s="1"/>
    </row>
    <row r="892" spans="1:5" ht="14.25" customHeight="1" x14ac:dyDescent="0.25">
      <c r="A892" s="1"/>
      <c r="B892" s="1"/>
      <c r="C892" s="1"/>
      <c r="D892" s="2"/>
      <c r="E892" s="1"/>
    </row>
    <row r="893" spans="1:5" ht="14.25" customHeight="1" x14ac:dyDescent="0.25">
      <c r="A893" s="1"/>
      <c r="B893" s="1"/>
      <c r="C893" s="1"/>
      <c r="D893" s="2"/>
      <c r="E893" s="1"/>
    </row>
    <row r="894" spans="1:5" ht="14.25" customHeight="1" x14ac:dyDescent="0.25">
      <c r="A894" s="1"/>
      <c r="B894" s="1"/>
      <c r="C894" s="1"/>
      <c r="D894" s="2"/>
      <c r="E894" s="1"/>
    </row>
    <row r="895" spans="1:5" ht="14.25" customHeight="1" x14ac:dyDescent="0.25">
      <c r="A895" s="1"/>
      <c r="B895" s="1"/>
      <c r="C895" s="1"/>
      <c r="D895" s="2"/>
      <c r="E895" s="1"/>
    </row>
    <row r="896" spans="1:5" ht="14.25" customHeight="1" x14ac:dyDescent="0.25">
      <c r="A896" s="1"/>
      <c r="B896" s="1"/>
      <c r="C896" s="1"/>
      <c r="D896" s="2"/>
      <c r="E896" s="1"/>
    </row>
    <row r="897" spans="1:5" ht="14.25" customHeight="1" x14ac:dyDescent="0.25">
      <c r="A897" s="1"/>
      <c r="B897" s="1"/>
      <c r="C897" s="1"/>
      <c r="D897" s="2"/>
      <c r="E897" s="1"/>
    </row>
    <row r="898" spans="1:5" ht="14.25" customHeight="1" x14ac:dyDescent="0.25">
      <c r="A898" s="1"/>
      <c r="B898" s="1"/>
      <c r="C898" s="1"/>
      <c r="D898" s="2"/>
      <c r="E898" s="1"/>
    </row>
    <row r="899" spans="1:5" ht="14.25" customHeight="1" x14ac:dyDescent="0.25">
      <c r="A899" s="1"/>
      <c r="B899" s="1"/>
      <c r="C899" s="1"/>
      <c r="D899" s="2"/>
      <c r="E899" s="1"/>
    </row>
    <row r="900" spans="1:5" ht="14.25" customHeight="1" x14ac:dyDescent="0.25">
      <c r="A900" s="1"/>
      <c r="B900" s="1"/>
      <c r="C900" s="1"/>
      <c r="D900" s="2"/>
      <c r="E900" s="1"/>
    </row>
    <row r="901" spans="1:5" ht="14.25" customHeight="1" x14ac:dyDescent="0.25">
      <c r="A901" s="1"/>
      <c r="B901" s="1"/>
      <c r="C901" s="1"/>
      <c r="D901" s="2"/>
      <c r="E901" s="1"/>
    </row>
    <row r="902" spans="1:5" ht="14.25" customHeight="1" x14ac:dyDescent="0.25">
      <c r="A902" s="1"/>
      <c r="B902" s="1"/>
      <c r="C902" s="1"/>
      <c r="D902" s="2"/>
      <c r="E902" s="1"/>
    </row>
    <row r="903" spans="1:5" ht="14.25" customHeight="1" x14ac:dyDescent="0.25">
      <c r="A903" s="1"/>
      <c r="B903" s="1"/>
      <c r="C903" s="1"/>
      <c r="D903" s="2"/>
      <c r="E903" s="1"/>
    </row>
    <row r="904" spans="1:5" ht="14.25" customHeight="1" x14ac:dyDescent="0.25">
      <c r="A904" s="1"/>
      <c r="B904" s="1"/>
      <c r="C904" s="1"/>
      <c r="D904" s="2"/>
      <c r="E904" s="1"/>
    </row>
    <row r="905" spans="1:5" ht="14.25" customHeight="1" x14ac:dyDescent="0.25">
      <c r="A905" s="1"/>
      <c r="B905" s="1"/>
      <c r="C905" s="1"/>
      <c r="D905" s="2"/>
      <c r="E905" s="1"/>
    </row>
    <row r="906" spans="1:5" ht="14.25" customHeight="1" x14ac:dyDescent="0.25">
      <c r="A906" s="1"/>
      <c r="B906" s="1"/>
      <c r="C906" s="1"/>
      <c r="D906" s="2"/>
      <c r="E906" s="1"/>
    </row>
    <row r="907" spans="1:5" ht="14.25" customHeight="1" x14ac:dyDescent="0.25">
      <c r="A907" s="1"/>
      <c r="B907" s="1"/>
      <c r="C907" s="1"/>
      <c r="D907" s="2"/>
      <c r="E907" s="1"/>
    </row>
    <row r="908" spans="1:5" ht="14.25" customHeight="1" x14ac:dyDescent="0.25">
      <c r="A908" s="1"/>
      <c r="B908" s="1"/>
      <c r="C908" s="1"/>
      <c r="D908" s="2"/>
      <c r="E908" s="1"/>
    </row>
    <row r="909" spans="1:5" ht="14.25" customHeight="1" x14ac:dyDescent="0.25">
      <c r="A909" s="1"/>
      <c r="B909" s="1"/>
      <c r="C909" s="1"/>
      <c r="D909" s="2"/>
      <c r="E909" s="1"/>
    </row>
    <row r="910" spans="1:5" ht="14.25" customHeight="1" x14ac:dyDescent="0.25">
      <c r="A910" s="1"/>
      <c r="B910" s="1"/>
      <c r="C910" s="1"/>
      <c r="D910" s="2"/>
      <c r="E910" s="1"/>
    </row>
    <row r="911" spans="1:5" ht="14.25" customHeight="1" x14ac:dyDescent="0.25">
      <c r="A911" s="1"/>
      <c r="B911" s="1"/>
      <c r="C911" s="1"/>
      <c r="D911" s="2"/>
      <c r="E911" s="1"/>
    </row>
    <row r="912" spans="1:5" ht="14.25" customHeight="1" x14ac:dyDescent="0.25">
      <c r="A912" s="1"/>
      <c r="B912" s="1"/>
      <c r="C912" s="1"/>
      <c r="D912" s="2"/>
      <c r="E912" s="1"/>
    </row>
    <row r="913" spans="1:5" ht="14.25" customHeight="1" x14ac:dyDescent="0.25">
      <c r="A913" s="1"/>
      <c r="B913" s="1"/>
      <c r="C913" s="1"/>
      <c r="D913" s="2"/>
      <c r="E913" s="1"/>
    </row>
    <row r="914" spans="1:5" ht="14.25" customHeight="1" x14ac:dyDescent="0.25">
      <c r="A914" s="1"/>
      <c r="B914" s="1"/>
      <c r="C914" s="1"/>
      <c r="D914" s="2"/>
      <c r="E914" s="1"/>
    </row>
    <row r="915" spans="1:5" ht="14.25" customHeight="1" x14ac:dyDescent="0.25">
      <c r="A915" s="1"/>
      <c r="B915" s="1"/>
      <c r="C915" s="1"/>
      <c r="D915" s="2"/>
      <c r="E915" s="1"/>
    </row>
    <row r="916" spans="1:5" ht="14.25" customHeight="1" x14ac:dyDescent="0.25">
      <c r="A916" s="1"/>
      <c r="B916" s="1"/>
      <c r="C916" s="1"/>
      <c r="D916" s="2"/>
      <c r="E916" s="1"/>
    </row>
    <row r="917" spans="1:5" ht="14.25" customHeight="1" x14ac:dyDescent="0.25">
      <c r="A917" s="1"/>
      <c r="B917" s="1"/>
      <c r="C917" s="1"/>
      <c r="D917" s="2"/>
      <c r="E917" s="1"/>
    </row>
    <row r="918" spans="1:5" ht="14.25" customHeight="1" x14ac:dyDescent="0.25">
      <c r="A918" s="1"/>
      <c r="B918" s="1"/>
      <c r="C918" s="1"/>
      <c r="D918" s="2"/>
      <c r="E918" s="1"/>
    </row>
    <row r="919" spans="1:5" ht="14.25" customHeight="1" x14ac:dyDescent="0.25">
      <c r="A919" s="1"/>
      <c r="B919" s="1"/>
      <c r="C919" s="1"/>
      <c r="D919" s="2"/>
      <c r="E919" s="1"/>
    </row>
    <row r="920" spans="1:5" ht="14.25" customHeight="1" x14ac:dyDescent="0.25">
      <c r="A920" s="1"/>
      <c r="B920" s="1"/>
      <c r="C920" s="1"/>
      <c r="D920" s="2"/>
      <c r="E920" s="1"/>
    </row>
    <row r="921" spans="1:5" ht="14.25" customHeight="1" x14ac:dyDescent="0.25">
      <c r="A921" s="1"/>
      <c r="B921" s="1"/>
      <c r="C921" s="1"/>
      <c r="D921" s="2"/>
      <c r="E921" s="1"/>
    </row>
    <row r="922" spans="1:5" ht="14.25" customHeight="1" x14ac:dyDescent="0.25">
      <c r="A922" s="1"/>
      <c r="B922" s="1"/>
      <c r="C922" s="1"/>
      <c r="D922" s="2"/>
      <c r="E922" s="1"/>
    </row>
    <row r="923" spans="1:5" ht="14.25" customHeight="1" x14ac:dyDescent="0.25">
      <c r="A923" s="1"/>
      <c r="B923" s="1"/>
      <c r="C923" s="1"/>
      <c r="D923" s="2"/>
      <c r="E923" s="1"/>
    </row>
    <row r="924" spans="1:5" ht="14.25" customHeight="1" x14ac:dyDescent="0.25">
      <c r="A924" s="1"/>
      <c r="B924" s="1"/>
      <c r="C924" s="1"/>
      <c r="D924" s="2"/>
      <c r="E924" s="1"/>
    </row>
    <row r="925" spans="1:5" ht="14.25" customHeight="1" x14ac:dyDescent="0.25">
      <c r="A925" s="1"/>
      <c r="B925" s="1"/>
      <c r="C925" s="1"/>
      <c r="D925" s="2"/>
      <c r="E925" s="1"/>
    </row>
    <row r="926" spans="1:5" ht="14.25" customHeight="1" x14ac:dyDescent="0.25">
      <c r="A926" s="1"/>
      <c r="B926" s="1"/>
      <c r="C926" s="1"/>
      <c r="D926" s="2"/>
      <c r="E926" s="1"/>
    </row>
    <row r="927" spans="1:5" ht="14.25" customHeight="1" x14ac:dyDescent="0.25">
      <c r="A927" s="1"/>
      <c r="B927" s="1"/>
      <c r="C927" s="1"/>
      <c r="D927" s="2"/>
      <c r="E927" s="1"/>
    </row>
    <row r="928" spans="1:5" ht="14.25" customHeight="1" x14ac:dyDescent="0.25">
      <c r="A928" s="1"/>
      <c r="B928" s="1"/>
      <c r="C928" s="1"/>
      <c r="D928" s="2"/>
      <c r="E928" s="1"/>
    </row>
    <row r="929" spans="1:5" ht="14.25" customHeight="1" x14ac:dyDescent="0.25">
      <c r="A929" s="1"/>
      <c r="B929" s="1"/>
      <c r="C929" s="1"/>
      <c r="D929" s="2"/>
      <c r="E929" s="1"/>
    </row>
    <row r="930" spans="1:5" ht="14.25" customHeight="1" x14ac:dyDescent="0.25">
      <c r="A930" s="1"/>
      <c r="B930" s="1"/>
      <c r="C930" s="1"/>
      <c r="D930" s="2"/>
      <c r="E930" s="1"/>
    </row>
    <row r="931" spans="1:5" ht="14.25" customHeight="1" x14ac:dyDescent="0.25">
      <c r="A931" s="1"/>
      <c r="B931" s="1"/>
      <c r="C931" s="1"/>
      <c r="D931" s="2"/>
      <c r="E931" s="1"/>
    </row>
    <row r="932" spans="1:5" ht="14.25" customHeight="1" x14ac:dyDescent="0.25">
      <c r="A932" s="1"/>
      <c r="B932" s="1"/>
      <c r="C932" s="1"/>
      <c r="D932" s="2"/>
      <c r="E932" s="1"/>
    </row>
    <row r="933" spans="1:5" ht="14.25" customHeight="1" x14ac:dyDescent="0.25">
      <c r="A933" s="1"/>
      <c r="B933" s="1"/>
      <c r="C933" s="1"/>
      <c r="D933" s="2"/>
      <c r="E933" s="1"/>
    </row>
    <row r="934" spans="1:5" ht="14.25" customHeight="1" x14ac:dyDescent="0.25">
      <c r="A934" s="1"/>
      <c r="B934" s="1"/>
      <c r="C934" s="1"/>
      <c r="D934" s="2"/>
      <c r="E934" s="1"/>
    </row>
    <row r="935" spans="1:5" ht="14.25" customHeight="1" x14ac:dyDescent="0.25">
      <c r="A935" s="1"/>
      <c r="B935" s="1"/>
      <c r="C935" s="1"/>
      <c r="D935" s="2"/>
      <c r="E935" s="1"/>
    </row>
    <row r="936" spans="1:5" ht="14.25" customHeight="1" x14ac:dyDescent="0.25">
      <c r="A936" s="1"/>
      <c r="B936" s="1"/>
      <c r="C936" s="1"/>
      <c r="D936" s="2"/>
      <c r="E936" s="1"/>
    </row>
    <row r="937" spans="1:5" ht="14.25" customHeight="1" x14ac:dyDescent="0.25">
      <c r="A937" s="1"/>
      <c r="B937" s="1"/>
      <c r="C937" s="1"/>
      <c r="D937" s="2"/>
      <c r="E937" s="1"/>
    </row>
    <row r="938" spans="1:5" ht="14.25" customHeight="1" x14ac:dyDescent="0.25">
      <c r="A938" s="1"/>
      <c r="B938" s="1"/>
      <c r="C938" s="1"/>
      <c r="D938" s="2"/>
      <c r="E938" s="1"/>
    </row>
    <row r="939" spans="1:5" ht="14.25" customHeight="1" x14ac:dyDescent="0.25">
      <c r="A939" s="1"/>
      <c r="B939" s="1"/>
      <c r="C939" s="1"/>
      <c r="D939" s="2"/>
      <c r="E939" s="1"/>
    </row>
    <row r="940" spans="1:5" ht="14.25" customHeight="1" x14ac:dyDescent="0.25">
      <c r="A940" s="1"/>
      <c r="B940" s="1"/>
      <c r="C940" s="1"/>
      <c r="D940" s="2"/>
      <c r="E940" s="1"/>
    </row>
    <row r="941" spans="1:5" ht="14.25" customHeight="1" x14ac:dyDescent="0.25">
      <c r="A941" s="1"/>
      <c r="B941" s="1"/>
      <c r="C941" s="1"/>
      <c r="D941" s="2"/>
      <c r="E941" s="1"/>
    </row>
    <row r="942" spans="1:5" ht="14.25" customHeight="1" x14ac:dyDescent="0.25">
      <c r="A942" s="1"/>
      <c r="B942" s="1"/>
      <c r="C942" s="1"/>
      <c r="D942" s="2"/>
      <c r="E942" s="1"/>
    </row>
    <row r="943" spans="1:5" ht="14.25" customHeight="1" x14ac:dyDescent="0.25">
      <c r="A943" s="1"/>
      <c r="B943" s="1"/>
      <c r="C943" s="1"/>
      <c r="D943" s="2"/>
      <c r="E943" s="1"/>
    </row>
    <row r="944" spans="1:5" ht="14.25" customHeight="1" x14ac:dyDescent="0.25">
      <c r="A944" s="1"/>
      <c r="B944" s="1"/>
      <c r="C944" s="1"/>
      <c r="D944" s="2"/>
      <c r="E944" s="1"/>
    </row>
    <row r="945" spans="1:5" ht="14.25" customHeight="1" x14ac:dyDescent="0.25">
      <c r="A945" s="1"/>
      <c r="B945" s="1"/>
      <c r="C945" s="1"/>
      <c r="D945" s="2"/>
      <c r="E945" s="1"/>
    </row>
    <row r="946" spans="1:5" ht="14.25" customHeight="1" x14ac:dyDescent="0.25">
      <c r="A946" s="1"/>
      <c r="B946" s="1"/>
      <c r="C946" s="1"/>
      <c r="D946" s="2"/>
      <c r="E946" s="1"/>
    </row>
    <row r="947" spans="1:5" ht="14.25" customHeight="1" x14ac:dyDescent="0.25">
      <c r="A947" s="1"/>
      <c r="B947" s="1"/>
      <c r="C947" s="1"/>
      <c r="D947" s="2"/>
      <c r="E947" s="1"/>
    </row>
    <row r="948" spans="1:5" ht="14.25" customHeight="1" x14ac:dyDescent="0.25">
      <c r="A948" s="1"/>
      <c r="B948" s="1"/>
      <c r="C948" s="1"/>
      <c r="D948" s="2"/>
      <c r="E948" s="1"/>
    </row>
    <row r="949" spans="1:5" ht="14.25" customHeight="1" x14ac:dyDescent="0.25">
      <c r="A949" s="1"/>
      <c r="B949" s="1"/>
      <c r="C949" s="1"/>
      <c r="D949" s="2"/>
      <c r="E949" s="1"/>
    </row>
    <row r="950" spans="1:5" ht="14.25" customHeight="1" x14ac:dyDescent="0.25">
      <c r="A950" s="1"/>
      <c r="B950" s="1"/>
      <c r="C950" s="1"/>
      <c r="D950" s="2"/>
      <c r="E950" s="1"/>
    </row>
    <row r="951" spans="1:5" ht="14.25" customHeight="1" x14ac:dyDescent="0.25">
      <c r="A951" s="1"/>
      <c r="B951" s="1"/>
      <c r="C951" s="1"/>
      <c r="D951" s="2"/>
      <c r="E951" s="1"/>
    </row>
    <row r="952" spans="1:5" ht="14.25" customHeight="1" x14ac:dyDescent="0.25">
      <c r="A952" s="1"/>
      <c r="B952" s="1"/>
      <c r="C952" s="1"/>
      <c r="D952" s="2"/>
      <c r="E952" s="1"/>
    </row>
    <row r="953" spans="1:5" ht="14.25" customHeight="1" x14ac:dyDescent="0.25">
      <c r="A953" s="1"/>
      <c r="B953" s="1"/>
      <c r="C953" s="1"/>
      <c r="D953" s="2"/>
      <c r="E953" s="1"/>
    </row>
    <row r="954" spans="1:5" ht="14.25" customHeight="1" x14ac:dyDescent="0.25">
      <c r="A954" s="1"/>
      <c r="B954" s="1"/>
      <c r="C954" s="1"/>
      <c r="D954" s="2"/>
      <c r="E954" s="1"/>
    </row>
    <row r="955" spans="1:5" ht="14.25" customHeight="1" x14ac:dyDescent="0.25">
      <c r="A955" s="1"/>
      <c r="B955" s="1"/>
      <c r="C955" s="1"/>
      <c r="D955" s="2"/>
      <c r="E955" s="1"/>
    </row>
    <row r="956" spans="1:5" ht="14.25" customHeight="1" x14ac:dyDescent="0.25">
      <c r="A956" s="1"/>
      <c r="B956" s="1"/>
      <c r="C956" s="1"/>
      <c r="D956" s="2"/>
      <c r="E956" s="1"/>
    </row>
    <row r="957" spans="1:5" ht="14.25" customHeight="1" x14ac:dyDescent="0.25">
      <c r="A957" s="1"/>
      <c r="B957" s="1"/>
      <c r="C957" s="1"/>
      <c r="D957" s="2"/>
      <c r="E957" s="1"/>
    </row>
    <row r="958" spans="1:5" ht="14.25" customHeight="1" x14ac:dyDescent="0.25">
      <c r="A958" s="1"/>
      <c r="B958" s="1"/>
      <c r="C958" s="1"/>
      <c r="D958" s="2"/>
      <c r="E958" s="1"/>
    </row>
    <row r="959" spans="1:5" ht="14.25" customHeight="1" x14ac:dyDescent="0.25">
      <c r="A959" s="1"/>
      <c r="B959" s="1"/>
      <c r="C959" s="1"/>
      <c r="D959" s="2"/>
      <c r="E959" s="1"/>
    </row>
    <row r="960" spans="1:5" ht="14.25" customHeight="1" x14ac:dyDescent="0.25">
      <c r="A960" s="1"/>
      <c r="B960" s="1"/>
      <c r="C960" s="1"/>
      <c r="D960" s="2"/>
      <c r="E960" s="1"/>
    </row>
    <row r="961" spans="1:5" ht="14.25" customHeight="1" x14ac:dyDescent="0.25">
      <c r="A961" s="1"/>
      <c r="B961" s="1"/>
      <c r="C961" s="1"/>
      <c r="D961" s="2"/>
      <c r="E961" s="1"/>
    </row>
    <row r="962" spans="1:5" ht="14.25" customHeight="1" x14ac:dyDescent="0.25">
      <c r="A962" s="1"/>
      <c r="B962" s="1"/>
      <c r="C962" s="1"/>
      <c r="D962" s="2"/>
      <c r="E962" s="1"/>
    </row>
    <row r="963" spans="1:5" ht="14.25" customHeight="1" x14ac:dyDescent="0.25">
      <c r="A963" s="1"/>
      <c r="B963" s="1"/>
      <c r="C963" s="1"/>
      <c r="D963" s="2"/>
      <c r="E963" s="1"/>
    </row>
    <row r="964" spans="1:5" ht="14.25" customHeight="1" x14ac:dyDescent="0.25">
      <c r="A964" s="1"/>
      <c r="B964" s="1"/>
      <c r="C964" s="1"/>
      <c r="D964" s="2"/>
      <c r="E964" s="1"/>
    </row>
    <row r="965" spans="1:5" ht="14.25" customHeight="1" x14ac:dyDescent="0.25">
      <c r="A965" s="1"/>
      <c r="B965" s="1"/>
      <c r="C965" s="1"/>
      <c r="D965" s="2"/>
      <c r="E965" s="1"/>
    </row>
    <row r="966" spans="1:5" ht="14.25" customHeight="1" x14ac:dyDescent="0.25">
      <c r="A966" s="1"/>
      <c r="B966" s="1"/>
      <c r="C966" s="1"/>
      <c r="D966" s="2"/>
      <c r="E966" s="1"/>
    </row>
    <row r="967" spans="1:5" ht="14.25" customHeight="1" x14ac:dyDescent="0.25">
      <c r="A967" s="1"/>
      <c r="B967" s="1"/>
      <c r="C967" s="1"/>
      <c r="D967" s="2"/>
      <c r="E967" s="1"/>
    </row>
    <row r="968" spans="1:5" ht="14.25" customHeight="1" x14ac:dyDescent="0.25">
      <c r="A968" s="1"/>
      <c r="B968" s="1"/>
      <c r="C968" s="1"/>
      <c r="D968" s="2"/>
      <c r="E968" s="1"/>
    </row>
    <row r="969" spans="1:5" ht="14.25" customHeight="1" x14ac:dyDescent="0.25">
      <c r="A969" s="1"/>
      <c r="B969" s="1"/>
      <c r="C969" s="1"/>
      <c r="D969" s="2"/>
      <c r="E969" s="1"/>
    </row>
    <row r="970" spans="1:5" ht="14.25" customHeight="1" x14ac:dyDescent="0.25">
      <c r="A970" s="1"/>
      <c r="B970" s="1"/>
      <c r="C970" s="1"/>
      <c r="D970" s="2"/>
      <c r="E970" s="1"/>
    </row>
    <row r="971" spans="1:5" ht="14.25" customHeight="1" x14ac:dyDescent="0.25">
      <c r="A971" s="1"/>
      <c r="B971" s="1"/>
      <c r="C971" s="1"/>
      <c r="D971" s="2"/>
      <c r="E971" s="1"/>
    </row>
    <row r="972" spans="1:5" ht="14.25" customHeight="1" x14ac:dyDescent="0.25">
      <c r="A972" s="1"/>
      <c r="B972" s="1"/>
      <c r="C972" s="1"/>
      <c r="D972" s="2"/>
      <c r="E972" s="1"/>
    </row>
    <row r="973" spans="1:5" ht="14.25" customHeight="1" x14ac:dyDescent="0.25">
      <c r="A973" s="1"/>
      <c r="B973" s="1"/>
      <c r="C973" s="1"/>
      <c r="D973" s="2"/>
      <c r="E973" s="1"/>
    </row>
    <row r="974" spans="1:5" ht="14.25" customHeight="1" x14ac:dyDescent="0.25">
      <c r="A974" s="1"/>
      <c r="B974" s="1"/>
      <c r="C974" s="1"/>
      <c r="D974" s="2"/>
      <c r="E974" s="1"/>
    </row>
    <row r="975" spans="1:5" ht="14.25" customHeight="1" x14ac:dyDescent="0.25">
      <c r="A975" s="1"/>
      <c r="B975" s="1"/>
      <c r="C975" s="1"/>
      <c r="D975" s="2"/>
      <c r="E975" s="1"/>
    </row>
    <row r="976" spans="1:5" ht="14.25" customHeight="1" x14ac:dyDescent="0.25">
      <c r="A976" s="1"/>
      <c r="B976" s="1"/>
      <c r="C976" s="1"/>
      <c r="D976" s="2"/>
      <c r="E976" s="1"/>
    </row>
    <row r="977" spans="1:5" ht="14.25" customHeight="1" x14ac:dyDescent="0.25">
      <c r="A977" s="1"/>
      <c r="B977" s="1"/>
      <c r="C977" s="1"/>
      <c r="D977" s="2"/>
      <c r="E977" s="1"/>
    </row>
    <row r="978" spans="1:5" ht="14.25" customHeight="1" x14ac:dyDescent="0.25">
      <c r="A978" s="1"/>
      <c r="B978" s="1"/>
      <c r="C978" s="1"/>
      <c r="D978" s="2"/>
      <c r="E978" s="1"/>
    </row>
    <row r="979" spans="1:5" ht="14.25" customHeight="1" x14ac:dyDescent="0.25">
      <c r="A979" s="1"/>
      <c r="B979" s="1"/>
      <c r="C979" s="1"/>
      <c r="D979" s="2"/>
      <c r="E979" s="1"/>
    </row>
    <row r="980" spans="1:5" ht="14.25" customHeight="1" x14ac:dyDescent="0.25">
      <c r="A980" s="1"/>
      <c r="B980" s="1"/>
      <c r="C980" s="1"/>
      <c r="D980" s="2"/>
      <c r="E980" s="1"/>
    </row>
    <row r="981" spans="1:5" ht="14.25" customHeight="1" x14ac:dyDescent="0.25">
      <c r="A981" s="1"/>
      <c r="B981" s="1"/>
      <c r="C981" s="1"/>
      <c r="D981" s="2"/>
      <c r="E981" s="1"/>
    </row>
    <row r="982" spans="1:5" ht="14.25" customHeight="1" x14ac:dyDescent="0.25">
      <c r="A982" s="1"/>
      <c r="B982" s="1"/>
      <c r="C982" s="1"/>
      <c r="D982" s="2"/>
      <c r="E982" s="1"/>
    </row>
    <row r="983" spans="1:5" ht="14.25" customHeight="1" x14ac:dyDescent="0.25">
      <c r="A983" s="1"/>
      <c r="B983" s="1"/>
      <c r="C983" s="1"/>
      <c r="D983" s="2"/>
      <c r="E983" s="1"/>
    </row>
    <row r="984" spans="1:5" ht="14.25" customHeight="1" x14ac:dyDescent="0.25">
      <c r="A984" s="1"/>
      <c r="B984" s="1"/>
      <c r="C984" s="1"/>
      <c r="D984" s="2"/>
      <c r="E984" s="1"/>
    </row>
    <row r="985" spans="1:5" ht="14.25" customHeight="1" x14ac:dyDescent="0.25">
      <c r="A985" s="1"/>
      <c r="B985" s="1"/>
      <c r="C985" s="1"/>
      <c r="D985" s="2"/>
      <c r="E985" s="1"/>
    </row>
    <row r="986" spans="1:5" ht="14.25" customHeight="1" x14ac:dyDescent="0.25">
      <c r="A986" s="1"/>
      <c r="B986" s="1"/>
      <c r="C986" s="1"/>
      <c r="D986" s="2"/>
      <c r="E986" s="1"/>
    </row>
    <row r="987" spans="1:5" ht="14.25" customHeight="1" x14ac:dyDescent="0.25">
      <c r="A987" s="1"/>
      <c r="B987" s="1"/>
      <c r="C987" s="1"/>
      <c r="D987" s="2"/>
      <c r="E987" s="1"/>
    </row>
    <row r="988" spans="1:5" ht="14.25" customHeight="1" x14ac:dyDescent="0.25">
      <c r="A988" s="1"/>
      <c r="B988" s="1"/>
      <c r="C988" s="1"/>
      <c r="D988" s="2"/>
      <c r="E988" s="1"/>
    </row>
    <row r="989" spans="1:5" ht="14.25" customHeight="1" x14ac:dyDescent="0.25">
      <c r="A989" s="1"/>
      <c r="B989" s="1"/>
      <c r="C989" s="1"/>
      <c r="D989" s="2"/>
      <c r="E989" s="1"/>
    </row>
    <row r="990" spans="1:5" ht="14.25" customHeight="1" x14ac:dyDescent="0.25">
      <c r="A990" s="1"/>
      <c r="B990" s="1"/>
      <c r="C990" s="1"/>
      <c r="D990" s="2"/>
      <c r="E990" s="1"/>
    </row>
    <row r="991" spans="1:5" ht="14.25" customHeight="1" x14ac:dyDescent="0.25">
      <c r="A991" s="1"/>
      <c r="B991" s="1"/>
      <c r="C991" s="1"/>
      <c r="D991" s="2"/>
      <c r="E991" s="1"/>
    </row>
    <row r="992" spans="1:5" ht="14.25" customHeight="1" x14ac:dyDescent="0.25">
      <c r="A992" s="1"/>
      <c r="B992" s="1"/>
      <c r="C992" s="1"/>
      <c r="D992" s="2"/>
      <c r="E992" s="1"/>
    </row>
    <row r="993" spans="1:5" ht="14.25" customHeight="1" x14ac:dyDescent="0.25">
      <c r="A993" s="1"/>
      <c r="B993" s="1"/>
      <c r="C993" s="1"/>
      <c r="D993" s="2"/>
      <c r="E993" s="1"/>
    </row>
    <row r="994" spans="1:5" ht="14.25" customHeight="1" x14ac:dyDescent="0.25">
      <c r="A994" s="1"/>
      <c r="B994" s="1"/>
      <c r="C994" s="1"/>
      <c r="D994" s="2"/>
      <c r="E994" s="1"/>
    </row>
    <row r="995" spans="1:5" ht="14.25" customHeight="1" x14ac:dyDescent="0.25">
      <c r="A995" s="1"/>
      <c r="B995" s="1"/>
      <c r="C995" s="1"/>
      <c r="D995" s="2"/>
      <c r="E995" s="1"/>
    </row>
    <row r="996" spans="1:5" ht="14.25" customHeight="1" x14ac:dyDescent="0.25">
      <c r="A996" s="1"/>
      <c r="B996" s="1"/>
      <c r="C996" s="1"/>
      <c r="D996" s="2"/>
      <c r="E996" s="1"/>
    </row>
    <row r="997" spans="1:5" ht="14.25" customHeight="1" x14ac:dyDescent="0.25">
      <c r="A997" s="1"/>
      <c r="B997" s="1"/>
      <c r="C997" s="1"/>
      <c r="D997" s="2"/>
      <c r="E997" s="1"/>
    </row>
    <row r="998" spans="1:5" ht="14.25" customHeight="1" x14ac:dyDescent="0.25">
      <c r="A998" s="1"/>
      <c r="B998" s="1"/>
      <c r="C998" s="1"/>
      <c r="D998" s="2"/>
      <c r="E998" s="1"/>
    </row>
    <row r="999" spans="1:5" ht="14.25" customHeight="1" x14ac:dyDescent="0.25">
      <c r="A999" s="1"/>
      <c r="B999" s="1"/>
      <c r="C999" s="1"/>
      <c r="D999" s="2"/>
      <c r="E999" s="1"/>
    </row>
    <row r="1000" spans="1:5" ht="14.25" customHeight="1" x14ac:dyDescent="0.25">
      <c r="A1000" s="1"/>
      <c r="B1000" s="1"/>
      <c r="C1000" s="1"/>
      <c r="D1000" s="2"/>
      <c r="E1000" s="1"/>
    </row>
  </sheetData>
  <pageMargins left="0.7" right="0.7" top="0.75" bottom="0.75"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F8A287-5219-4C3B-878A-A43761FBEC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Insights</vt:lpstr>
      <vt:lpstr>Pivots</vt:lpstr>
      <vt:lpstr>AmazonSales</vt:lpstr>
      <vt:lpstr>RegionGoals</vt:lpstr>
      <vt:lpstr>CustomerMaster</vt:lpstr>
      <vt:lpstr>ProductMaster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Shubham Kumar [M.Com - 2023]</cp:lastModifiedBy>
  <dcterms:created xsi:type="dcterms:W3CDTF">2025-07-17T15:44:57Z</dcterms:created>
  <dcterms:modified xsi:type="dcterms:W3CDTF">2026-02-09T12:22:41Z</dcterms:modified>
</cp:coreProperties>
</file>